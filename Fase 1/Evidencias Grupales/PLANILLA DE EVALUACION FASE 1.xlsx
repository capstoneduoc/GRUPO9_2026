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Jeanette Leonelli\Desktop\2026-2\Secciones\PTY4614-702D\Entrega Fase 1-escuela\G9\Evidencias Grupales\"/>
    </mc:Choice>
  </mc:AlternateContent>
  <xr:revisionPtr revIDLastSave="0" documentId="13_ncr:1_{1B4D755E-0947-4D3D-A8C9-EC5F59D40EFD}" xr6:coauthVersionLast="47" xr6:coauthVersionMax="47" xr10:uidLastSave="{00000000-0000-0000-0000-000000000000}"/>
  <bookViews>
    <workbookView xWindow="-98" yWindow="-98" windowWidth="19396" windowHeight="11475"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1" l="1"/>
  <c r="E7" i="1"/>
  <c r="D6" i="1"/>
  <c r="C60" i="1"/>
  <c r="D67" i="1"/>
  <c r="J66" i="1"/>
  <c r="K66" i="1" s="1"/>
  <c r="H66" i="1"/>
  <c r="I66" i="1" s="1"/>
  <c r="F66" i="1"/>
  <c r="G66" i="1" s="1"/>
  <c r="D66" i="1"/>
  <c r="E66" i="1" s="1"/>
  <c r="B66" i="1"/>
  <c r="J65" i="1"/>
  <c r="K65" i="1" s="1"/>
  <c r="H65" i="1"/>
  <c r="I65" i="1" s="1"/>
  <c r="F65" i="1"/>
  <c r="G65" i="1" s="1"/>
  <c r="D65" i="1"/>
  <c r="E65" i="1" s="1"/>
  <c r="B65" i="1"/>
  <c r="J64" i="1"/>
  <c r="J67" i="1" s="1"/>
  <c r="H64" i="1"/>
  <c r="H67" i="1" s="1"/>
  <c r="F64" i="1"/>
  <c r="F67" i="1" s="1"/>
  <c r="D64" i="1"/>
  <c r="E64" i="1" s="1"/>
  <c r="B64" i="1"/>
  <c r="E6" i="1"/>
  <c r="C7" i="1"/>
  <c r="C6" i="1"/>
  <c r="E4" i="1"/>
  <c r="J55" i="1"/>
  <c r="K55" i="1" s="1"/>
  <c r="H55" i="1"/>
  <c r="I55" i="1" s="1"/>
  <c r="F55" i="1"/>
  <c r="G55" i="1" s="1"/>
  <c r="D55" i="1"/>
  <c r="E55" i="1" s="1"/>
  <c r="J54" i="1"/>
  <c r="K54" i="1" s="1"/>
  <c r="H54" i="1"/>
  <c r="I54" i="1" s="1"/>
  <c r="F54" i="1"/>
  <c r="G54" i="1" s="1"/>
  <c r="D54" i="1"/>
  <c r="E54" i="1" s="1"/>
  <c r="J53" i="1"/>
  <c r="K53" i="1" s="1"/>
  <c r="H53" i="1"/>
  <c r="I53" i="1" s="1"/>
  <c r="F53" i="1"/>
  <c r="G53" i="1" s="1"/>
  <c r="D53" i="1"/>
  <c r="E53" i="1" s="1"/>
  <c r="J44" i="1"/>
  <c r="K44" i="1" s="1"/>
  <c r="H44" i="1"/>
  <c r="I44" i="1" s="1"/>
  <c r="F44" i="1"/>
  <c r="G44" i="1" s="1"/>
  <c r="D44" i="1"/>
  <c r="E44" i="1" s="1"/>
  <c r="J43" i="1"/>
  <c r="K43" i="1" s="1"/>
  <c r="H43" i="1"/>
  <c r="I43" i="1" s="1"/>
  <c r="F43" i="1"/>
  <c r="G43" i="1" s="1"/>
  <c r="D43" i="1"/>
  <c r="E43" i="1" s="1"/>
  <c r="J42" i="1"/>
  <c r="K42" i="1" s="1"/>
  <c r="H42" i="1"/>
  <c r="I42" i="1" s="1"/>
  <c r="F42" i="1"/>
  <c r="G42" i="1" s="1"/>
  <c r="D42" i="1"/>
  <c r="E42" i="1" s="1"/>
  <c r="D18" i="1"/>
  <c r="E18" i="1" s="1"/>
  <c r="F18" i="1"/>
  <c r="G18" i="1" s="1"/>
  <c r="H18" i="1"/>
  <c r="I18" i="1" s="1"/>
  <c r="J18" i="1"/>
  <c r="K18" i="1" s="1"/>
  <c r="D16" i="1"/>
  <c r="E16" i="1" s="1"/>
  <c r="F16" i="1"/>
  <c r="G16" i="1" s="1"/>
  <c r="H16" i="1"/>
  <c r="I16" i="1" s="1"/>
  <c r="J16" i="1"/>
  <c r="K16" i="1" s="1"/>
  <c r="F30" i="1"/>
  <c r="G30" i="1" s="1"/>
  <c r="H30" i="1"/>
  <c r="I30" i="1" s="1"/>
  <c r="J30" i="1"/>
  <c r="K30" i="1" s="1"/>
  <c r="F13" i="1"/>
  <c r="G13" i="1" s="1"/>
  <c r="H13" i="1"/>
  <c r="I13" i="1" s="1"/>
  <c r="J13" i="1"/>
  <c r="K13" i="1" s="1"/>
  <c r="J32" i="1"/>
  <c r="K32" i="1" s="1"/>
  <c r="H32" i="1"/>
  <c r="I32" i="1" s="1"/>
  <c r="F32" i="1"/>
  <c r="G32" i="1" s="1"/>
  <c r="D32" i="1"/>
  <c r="E32" i="1" s="1"/>
  <c r="C49" i="1"/>
  <c r="C38" i="1"/>
  <c r="B55" i="1"/>
  <c r="B54" i="1"/>
  <c r="B53" i="1"/>
  <c r="B44" i="1"/>
  <c r="B43" i="1"/>
  <c r="B42" i="1"/>
  <c r="B31" i="1"/>
  <c r="B30" i="1"/>
  <c r="D30" i="1"/>
  <c r="E30" i="1" s="1"/>
  <c r="B32" i="1"/>
  <c r="J31" i="1"/>
  <c r="K31" i="1" s="1"/>
  <c r="H31" i="1"/>
  <c r="I31" i="1" s="1"/>
  <c r="F31" i="1"/>
  <c r="G31" i="1" s="1"/>
  <c r="D31" i="1"/>
  <c r="E31" i="1" s="1"/>
  <c r="B14" i="1"/>
  <c r="B15" i="1"/>
  <c r="B16" i="1"/>
  <c r="B17" i="1"/>
  <c r="B18" i="1"/>
  <c r="B19" i="1"/>
  <c r="B20" i="1"/>
  <c r="B21" i="1"/>
  <c r="B13" i="1"/>
  <c r="B12" i="1"/>
  <c r="E67" i="1" l="1"/>
  <c r="G64" i="1"/>
  <c r="G67" i="1" s="1"/>
  <c r="I64" i="1"/>
  <c r="I67" i="1" s="1"/>
  <c r="K64" i="1"/>
  <c r="K67" i="1" s="1"/>
  <c r="D56" i="1"/>
  <c r="E56" i="1"/>
  <c r="F56" i="1"/>
  <c r="H56" i="1"/>
  <c r="J56" i="1"/>
  <c r="E33" i="1"/>
  <c r="I33" i="1"/>
  <c r="K33" i="1"/>
  <c r="G33" i="1"/>
  <c r="G56" i="1"/>
  <c r="I56" i="1"/>
  <c r="K56" i="1"/>
  <c r="E45" i="1"/>
  <c r="G45" i="1"/>
  <c r="I45" i="1"/>
  <c r="K45" i="1"/>
  <c r="D12" i="1"/>
  <c r="E12" i="1" s="1"/>
  <c r="D13" i="1"/>
  <c r="E13" i="1" s="1"/>
  <c r="D14" i="1"/>
  <c r="E14" i="1" s="1"/>
  <c r="D15" i="1"/>
  <c r="E15" i="1" s="1"/>
  <c r="D17" i="1"/>
  <c r="E17" i="1" s="1"/>
  <c r="D21" i="1"/>
  <c r="E21" i="1" s="1"/>
  <c r="F19" i="1"/>
  <c r="G19" i="1" s="1"/>
  <c r="F20" i="1"/>
  <c r="G20" i="1" s="1"/>
  <c r="C67" i="1" l="1"/>
  <c r="C68" i="1" s="1"/>
  <c r="C56" i="1"/>
  <c r="C45" i="1"/>
  <c r="D20" i="1"/>
  <c r="E20" i="1" s="1"/>
  <c r="H20" i="1"/>
  <c r="I20" i="1" s="1"/>
  <c r="J20" i="1"/>
  <c r="K20" i="1" s="1"/>
  <c r="F21" i="1"/>
  <c r="G21" i="1" s="1"/>
  <c r="H21" i="1"/>
  <c r="I21" i="1" s="1"/>
  <c r="J21" i="1"/>
  <c r="K21" i="1" s="1"/>
  <c r="C26" i="1"/>
  <c r="J19" i="1"/>
  <c r="K19" i="1" s="1"/>
  <c r="H19" i="1"/>
  <c r="I19" i="1" s="1"/>
  <c r="D19" i="1"/>
  <c r="E19" i="1" s="1"/>
  <c r="J17" i="1"/>
  <c r="K17" i="1" s="1"/>
  <c r="H17" i="1"/>
  <c r="I17" i="1" s="1"/>
  <c r="F17" i="1"/>
  <c r="G17" i="1" s="1"/>
  <c r="J15" i="1"/>
  <c r="K15" i="1" s="1"/>
  <c r="H15" i="1"/>
  <c r="I15" i="1" s="1"/>
  <c r="F15" i="1"/>
  <c r="G15" i="1" s="1"/>
  <c r="J14" i="1"/>
  <c r="K14" i="1" s="1"/>
  <c r="H14" i="1"/>
  <c r="I14" i="1" s="1"/>
  <c r="F14" i="1"/>
  <c r="G14" i="1" s="1"/>
  <c r="J12" i="1"/>
  <c r="K12" i="1" s="1"/>
  <c r="H12" i="1"/>
  <c r="I12" i="1" s="1"/>
  <c r="F12" i="1"/>
  <c r="G12" i="1" s="1"/>
  <c r="C46" i="1" l="1"/>
  <c r="D5" i="1" s="1"/>
  <c r="C57" i="1"/>
  <c r="E22" i="1"/>
  <c r="G22" i="1"/>
  <c r="I22" i="1"/>
  <c r="C33" i="1" l="1"/>
  <c r="K22" i="1"/>
  <c r="C22" i="1" s="1"/>
  <c r="C23" i="1" s="1"/>
  <c r="C34" i="1" l="1"/>
  <c r="D4" i="1" s="1"/>
  <c r="C5" i="1"/>
  <c r="E5" i="1" s="1"/>
  <c r="C4" i="1"/>
</calcChain>
</file>

<file path=xl/sharedStrings.xml><?xml version="1.0" encoding="utf-8"?>
<sst xmlns="http://schemas.openxmlformats.org/spreadsheetml/2006/main" count="172" uniqueCount="98">
  <si>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</si>
  <si>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</si>
  <si>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</si>
  <si>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</si>
  <si>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</si>
  <si>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</si>
  <si>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</si>
  <si>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</si>
  <si>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</si>
  <si>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</si>
  <si>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</si>
  <si>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</si>
  <si>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</si>
  <si>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</si>
  <si>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</si>
  <si>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</si>
  <si>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</si>
  <si>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</si>
  <si>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</si>
  <si>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</si>
  <si>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</si>
  <si>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</si>
  <si>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</si>
  <si>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</si>
  <si>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</si>
  <si>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</si>
  <si>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</si>
  <si>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</si>
  <si>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</si>
  <si>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</si>
  <si>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</si>
  <si>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</si>
  <si>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</si>
  <si>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</si>
  <si>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</si>
  <si>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</si>
  <si>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</si>
  <si>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</si>
  <si>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</si>
  <si>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</si>
  <si>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</si>
  <si>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</si>
  <si>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</si>
  <si>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</si>
  <si>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</si>
  <si>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</si>
  <si>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</si>
  <si>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</si>
  <si>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</si>
  <si>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</si>
  <si>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</si>
  <si>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</si>
  <si>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</si>
  <si>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</si>
  <si>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</si>
  <si>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</si>
  <si>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</si>
  <si>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</si>
  <si>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</si>
  <si>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</si>
  <si>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</si>
  <si>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</si>
  <si>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</si>
  <si>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</si>
  <si>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</si>
  <si>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</si>
  <si>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</si>
  <si>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</si>
  <si>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</si>
  <si>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</si>
  <si>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</si>
  <si>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</si>
  <si>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</si>
  <si>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</si>
  <si>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</si>
  <si>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</si>
  <si>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</si>
  <si>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</si>
  <si>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</si>
  <si>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</si>
  <si>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</si>
  <si>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</si>
  <si>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</si>
  <si>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</si>
  <si>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</si>
  <si>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</si>
  <si>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</si>
  <si>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</si>
  <si>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</si>
  <si>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</si>
  <si>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</si>
  <si>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</si>
  <si>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</si>
  <si>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</si>
  <si>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</si>
  <si>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PENA VARGAS CARLOS FELIPE</t>
  </si>
  <si>
    <t>ROMERO GALAZ NICOLAS ALEJANDRO</t>
  </si>
  <si>
    <t>TAPIA BENIZ JASON MANUEL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</si>
</sst>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b/>
      <sz val="11"/>
      <color rgb="FF000000"/>
      <name val="Calibri"/>
      <family val="2"/>
    </font>
    <font>
      <sz val="9"/>
      <color theme="1"/>
      <name val="Calibri"/>
      <family val="2"/>
      <scheme val="minor"/>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16" fillId="0" borderId="32" xfId="0" applyFont="1" applyBorder="1" applyAlignment="1">
      <alignment wrapText="1"/>
    </xf>
    <xf numFmtId="0" fontId="0" fillId="7" borderId="2" xfId="0" applyFill="1" applyBorder="1" applyAlignment="1">
      <alignment horizontal="center" vertical="center" textRotation="255"/>
    </xf>
    <xf numFmtId="0" fontId="2" fillId="0" borderId="16" xfId="0" applyFont="1" applyBorder="1"/>
    <xf numFmtId="0" fontId="2" fillId="0" borderId="3" xfId="0" applyFont="1" applyBorder="1"/>
    <xf numFmtId="0" fontId="0" fillId="3" borderId="2" xfId="0" applyFill="1" applyBorder="1" applyAlignment="1">
      <alignment horizontal="right" vertical="center"/>
    </xf>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4" xfId="0" applyFont="1" applyBorder="1"/>
    <xf numFmtId="0" fontId="2" fillId="0" borderId="15"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18"/>
  <sheetViews>
    <sheetView tabSelected="1" zoomScale="55" zoomScaleNormal="55" workbookViewId="0">
      <selection activeCell="B4" sqref="B4:B6"/>
    </sheetView>
  </sheetViews>
  <sheetFormatPr baseColWidth="10" defaultColWidth="14.46484375" defaultRowHeight="15" customHeight="1" outlineLevelRow="1" x14ac:dyDescent="0.45"/>
  <cols>
    <col min="1" max="1" width="10.6640625" customWidth="1"/>
    <col min="2" max="2" width="66.86328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25" x14ac:dyDescent="0.45">
      <c r="C2" s="2">
        <v>0.75</v>
      </c>
      <c r="D2" s="2">
        <v>0.25</v>
      </c>
      <c r="E2" s="67">
        <v>1</v>
      </c>
    </row>
    <row r="3" spans="1:11" ht="14.25" x14ac:dyDescent="0.45">
      <c r="B3" s="3" t="s">
        <v>2</v>
      </c>
      <c r="C3" s="4" t="s">
        <v>3</v>
      </c>
      <c r="D3" s="2" t="s">
        <v>4</v>
      </c>
      <c r="E3" s="55"/>
    </row>
    <row r="4" spans="1:11" ht="14.25" x14ac:dyDescent="0.45">
      <c r="A4" s="5">
        <v>1</v>
      </c>
      <c r="B4" s="52" t="s">
        <v>95</v>
      </c>
      <c r="C4" s="6">
        <f>EVALUACION1!$C$23</f>
        <v>7</v>
      </c>
      <c r="D4" s="6">
        <f>$C$34</f>
        <v>7</v>
      </c>
      <c r="E4" s="50">
        <f>C4*C$2+D4*D$2</f>
        <v>7</v>
      </c>
      <c r="G4" s="1"/>
    </row>
    <row r="5" spans="1:11" ht="14.25" x14ac:dyDescent="0.45">
      <c r="A5" s="5">
        <v>2</v>
      </c>
      <c r="B5" s="52" t="s">
        <v>96</v>
      </c>
      <c r="C5" s="6">
        <f>EVALUACION1!$C$23</f>
        <v>7</v>
      </c>
      <c r="D5" s="6">
        <f>C46</f>
        <v>7</v>
      </c>
      <c r="E5" s="50">
        <f t="shared" ref="E5" si="0">C5*C$2+D5*D$2</f>
        <v>7</v>
      </c>
      <c r="G5" s="1"/>
    </row>
    <row r="6" spans="1:11" ht="14.25" x14ac:dyDescent="0.45">
      <c r="A6" s="5">
        <v>3</v>
      </c>
      <c r="B6" s="52" t="s">
        <v>97</v>
      </c>
      <c r="C6" s="6">
        <f>EVALUACION1!$C$23</f>
        <v>7</v>
      </c>
      <c r="D6" s="6">
        <f>C57</f>
        <v>7</v>
      </c>
      <c r="E6" s="50">
        <f t="shared" ref="E6" si="1">C6*C$2+D6*D$2</f>
        <v>7</v>
      </c>
      <c r="G6" s="1"/>
    </row>
    <row r="7" spans="1:11" ht="15" customHeight="1" x14ac:dyDescent="0.45">
      <c r="A7" s="5">
        <v>4</v>
      </c>
      <c r="B7" s="52"/>
      <c r="C7" s="6">
        <f>EVALUACION1!$C$23</f>
        <v>7</v>
      </c>
      <c r="D7" s="6">
        <f>C68</f>
        <v>7</v>
      </c>
      <c r="E7" s="50">
        <f t="shared" ref="E7" si="2">C7*C$2+D7*D$2</f>
        <v>7</v>
      </c>
    </row>
    <row r="10" spans="1:11" ht="18" outlineLevel="1" x14ac:dyDescent="0.45">
      <c r="A10" s="69" t="s">
        <v>12</v>
      </c>
      <c r="B10" s="15"/>
      <c r="C10" s="63" t="s">
        <v>13</v>
      </c>
      <c r="D10" s="64" t="s">
        <v>14</v>
      </c>
      <c r="E10" s="65"/>
      <c r="F10" s="65"/>
      <c r="G10" s="65"/>
      <c r="H10" s="65"/>
      <c r="I10" s="65"/>
      <c r="J10" s="65"/>
      <c r="K10" s="66"/>
    </row>
    <row r="11" spans="1:11" ht="14.25" outlineLevel="1" x14ac:dyDescent="0.45">
      <c r="A11" s="54"/>
      <c r="B11" s="25" t="s">
        <v>15</v>
      </c>
      <c r="C11" s="55"/>
      <c r="D11" s="64" t="s">
        <v>7</v>
      </c>
      <c r="E11" s="66"/>
      <c r="F11" s="64" t="s">
        <v>8</v>
      </c>
      <c r="G11" s="66"/>
      <c r="H11" s="68" t="s">
        <v>77</v>
      </c>
      <c r="I11" s="66"/>
      <c r="J11" s="64" t="s">
        <v>10</v>
      </c>
      <c r="K11" s="66"/>
    </row>
    <row r="12" spans="1:11" ht="23.25" outlineLevel="1" x14ac:dyDescent="0.45">
      <c r="A12" s="70"/>
      <c r="B12" s="40" t="str">
        <f>RUBRICA!A5</f>
        <v>1. Describe brevemente en qué consiste el Proyecto APT, justificando su relevancia para el campo laboral de su carrera.</v>
      </c>
      <c r="C12" s="38" t="s">
        <v>7</v>
      </c>
      <c r="D12" s="17" t="str">
        <f t="shared" ref="D12:D15" si="3">IF($C12=CL,"X","")</f>
        <v>X</v>
      </c>
      <c r="E12" s="17">
        <f>IF(D12="X",100*0.1,"")</f>
        <v>10</v>
      </c>
      <c r="F12" s="17" t="str">
        <f t="shared" ref="F12:F15" si="4">IF($C12=L,"X","")</f>
        <v/>
      </c>
      <c r="G12" s="17" t="str">
        <f>IF(F12="X",60*0.1,"")</f>
        <v/>
      </c>
      <c r="H12" s="17" t="str">
        <f t="shared" ref="H12:H15" si="5">IF($C12=ML,"X","")</f>
        <v/>
      </c>
      <c r="I12" s="17" t="str">
        <f>IF(H12="X",30*0.1,"")</f>
        <v/>
      </c>
      <c r="J12" s="17" t="str">
        <f t="shared" ref="J12:J15" si="6">IF($C12=NL,"X","")</f>
        <v/>
      </c>
      <c r="K12" s="17" t="str">
        <f t="shared" ref="K12:K15" si="7">IF($J12="X",0,"")</f>
        <v/>
      </c>
    </row>
    <row r="13" spans="1:11" ht="26.45" customHeight="1" outlineLevel="1" x14ac:dyDescent="0.45">
      <c r="A13" s="70"/>
      <c r="B13" s="40" t="str">
        <f>RUBRICA!A6</f>
        <v>2. Relaciona el Proyecto APT con las competencias del perfil de egreso de su Plan de Estudio.</v>
      </c>
      <c r="C13" s="38" t="s">
        <v>7</v>
      </c>
      <c r="D13" s="17" t="str">
        <f t="shared" si="3"/>
        <v>X</v>
      </c>
      <c r="E13" s="17">
        <f t="shared" ref="E13" si="8">IF(D13="X",100*0.05,"")</f>
        <v>5</v>
      </c>
      <c r="F13" s="17" t="str">
        <f t="shared" si="4"/>
        <v/>
      </c>
      <c r="G13" s="17" t="str">
        <f t="shared" ref="G13" si="9">IF(F13="X",60*0.05,"")</f>
        <v/>
      </c>
      <c r="H13" s="17" t="str">
        <f t="shared" si="5"/>
        <v/>
      </c>
      <c r="I13" s="17" t="str">
        <f t="shared" ref="I13" si="10">IF(H13="X",30*0.05,"")</f>
        <v/>
      </c>
      <c r="J13" s="17" t="str">
        <f t="shared" si="6"/>
        <v/>
      </c>
      <c r="K13" s="17" t="str">
        <f t="shared" si="7"/>
        <v/>
      </c>
    </row>
    <row r="14" spans="1:11" ht="14.25" outlineLevel="1" x14ac:dyDescent="0.45">
      <c r="A14" s="70"/>
      <c r="B14" s="40" t="str">
        <f>RUBRICA!A8</f>
        <v xml:space="preserve">4.  Argumenta por qué el proyecto es factible de realizarse en el marco de la asignatura. </v>
      </c>
      <c r="C14" s="38" t="s">
        <v>7</v>
      </c>
      <c r="D14" s="17" t="str">
        <f t="shared" si="3"/>
        <v>X</v>
      </c>
      <c r="E14" s="17">
        <f t="shared" ref="E14:E20" si="11">IF(D14="X",100*0.05,"")</f>
        <v>5</v>
      </c>
      <c r="F14" s="17" t="str">
        <f t="shared" si="4"/>
        <v/>
      </c>
      <c r="G14" s="17" t="str">
        <f t="shared" ref="G14:G20" si="12">IF(F14="X",60*0.05,"")</f>
        <v/>
      </c>
      <c r="H14" s="17" t="str">
        <f t="shared" si="5"/>
        <v/>
      </c>
      <c r="I14" s="17" t="str">
        <f t="shared" ref="I14:I20" si="13">IF(H14="X",30*0.05,"")</f>
        <v/>
      </c>
      <c r="J14" s="17" t="str">
        <f t="shared" si="6"/>
        <v/>
      </c>
      <c r="K14" s="17" t="str">
        <f t="shared" si="7"/>
        <v/>
      </c>
    </row>
    <row r="15" spans="1:11" ht="14.25" outlineLevel="1" x14ac:dyDescent="0.45">
      <c r="A15" s="70"/>
      <c r="B15" s="40" t="str">
        <f>RUBRICA!A9</f>
        <v xml:space="preserve">5. Formula objetivos claros, concisos y coherentes con la disciplina y la situación a abordar. </v>
      </c>
      <c r="C15" s="38" t="s">
        <v>7</v>
      </c>
      <c r="D15" s="17" t="str">
        <f t="shared" si="3"/>
        <v>X</v>
      </c>
      <c r="E15" s="17">
        <f>IF(D15="X",100*0.05,"")</f>
        <v>5</v>
      </c>
      <c r="F15" s="17" t="str">
        <f t="shared" si="4"/>
        <v/>
      </c>
      <c r="G15" s="17" t="str">
        <f>IF(F15="X",60*0.05,"")</f>
        <v/>
      </c>
      <c r="H15" s="17" t="str">
        <f t="shared" si="5"/>
        <v/>
      </c>
      <c r="I15" s="17" t="str">
        <f>IF(H15="X",30*0.05,"")</f>
        <v/>
      </c>
      <c r="J15" s="17" t="str">
        <f t="shared" si="6"/>
        <v/>
      </c>
      <c r="K15" s="17" t="str">
        <f t="shared" si="7"/>
        <v/>
      </c>
    </row>
    <row r="16" spans="1:11" ht="23.25" outlineLevel="1" x14ac:dyDescent="0.45">
      <c r="A16" s="70"/>
      <c r="B16" s="40" t="str">
        <f>RUBRICA!A10</f>
        <v>6. Propone una metodología de trabajo que permite alcanzar los objetivos propuestos y es pertinente con los requerimientos disciplinares.</v>
      </c>
      <c r="C16" s="38" t="s">
        <v>7</v>
      </c>
      <c r="D16" s="17" t="str">
        <f t="shared" ref="D16:D21" si="14">IF($C16=CL,"X","")</f>
        <v>X</v>
      </c>
      <c r="E16" s="17">
        <f t="shared" ref="E16" si="15">IF(D16="X",100*0.1,"")</f>
        <v>10</v>
      </c>
      <c r="F16" s="17" t="str">
        <f t="shared" ref="F16:F21" si="16">IF($C16=L,"X","")</f>
        <v/>
      </c>
      <c r="G16" s="17" t="str">
        <f t="shared" ref="G16" si="17">IF(F16="X",60*0.1,"")</f>
        <v/>
      </c>
      <c r="H16" s="17" t="str">
        <f t="shared" ref="H16:H21" si="18">IF($C16=ML,"X","")</f>
        <v/>
      </c>
      <c r="I16" s="17" t="str">
        <f t="shared" ref="I16" si="19">IF(H16="X",30*0.1,"")</f>
        <v/>
      </c>
      <c r="J16" s="17" t="str">
        <f t="shared" ref="J16:J21" si="20">IF($C16=NL,"X","")</f>
        <v/>
      </c>
      <c r="K16" s="17" t="str">
        <f t="shared" ref="K16:K21" si="21">IF($J16="X",0,"")</f>
        <v/>
      </c>
    </row>
    <row r="17" spans="1:11" ht="23.25" outlineLevel="1" x14ac:dyDescent="0.45">
      <c r="A17" s="70"/>
      <c r="B17" s="40" t="str">
        <f>RUBRICA!A11</f>
        <v xml:space="preserve">7. Establece un plan de trabajo para su proyecto APT considerando los recursos, duración, facilitadores y obstaculizadores en el desarrollo de las actividades. </v>
      </c>
      <c r="C17" s="38" t="s">
        <v>7</v>
      </c>
      <c r="D17" s="17" t="str">
        <f t="shared" si="14"/>
        <v>X</v>
      </c>
      <c r="E17" s="17">
        <f t="shared" ref="E17" si="22">IF(D17="X",100*0.1,"")</f>
        <v>10</v>
      </c>
      <c r="F17" s="17" t="str">
        <f t="shared" si="16"/>
        <v/>
      </c>
      <c r="G17" s="17" t="str">
        <f t="shared" ref="G17" si="23">IF(F17="X",60*0.1,"")</f>
        <v/>
      </c>
      <c r="H17" s="17" t="str">
        <f t="shared" si="18"/>
        <v/>
      </c>
      <c r="I17" s="17" t="str">
        <f t="shared" ref="I17" si="24">IF(H17="X",30*0.1,"")</f>
        <v/>
      </c>
      <c r="J17" s="17" t="str">
        <f t="shared" si="20"/>
        <v/>
      </c>
      <c r="K17" s="17" t="str">
        <f t="shared" si="21"/>
        <v/>
      </c>
    </row>
    <row r="18" spans="1:11" ht="23.25" outlineLevel="1" x14ac:dyDescent="0.45">
      <c r="A18" s="70"/>
      <c r="B18" s="40" t="str">
        <f>RUBRICA!A12</f>
        <v>8. Determina evidencias, justificando cómo estas dan cuenta del logro de las actividades del Proyecto APT.</v>
      </c>
      <c r="C18" s="38" t="s">
        <v>7</v>
      </c>
      <c r="D18" s="17" t="str">
        <f t="shared" si="14"/>
        <v>X</v>
      </c>
      <c r="E18" s="17">
        <f>IF(D18="X",100*0.05,"")</f>
        <v>5</v>
      </c>
      <c r="F18" s="17" t="str">
        <f t="shared" si="16"/>
        <v/>
      </c>
      <c r="G18" s="17" t="str">
        <f t="shared" ref="G18" si="25">IF(F18="X",60*0.05,"")</f>
        <v/>
      </c>
      <c r="H18" s="17" t="str">
        <f t="shared" si="18"/>
        <v/>
      </c>
      <c r="I18" s="17" t="str">
        <f t="shared" ref="I18" si="26">IF(H18="X",30*0.05,"")</f>
        <v/>
      </c>
      <c r="J18" s="17" t="str">
        <f t="shared" si="20"/>
        <v/>
      </c>
      <c r="K18" s="17" t="str">
        <f t="shared" si="21"/>
        <v/>
      </c>
    </row>
    <row r="19" spans="1:11" ht="23.25" outlineLevel="1" x14ac:dyDescent="0.45">
      <c r="A19" s="70"/>
      <c r="B19" s="40" t="str">
        <f>RUBRICA!A13</f>
        <v xml:space="preserve">9. Utiliza reglas de redacción, ortografía (literal, puntual, acentual) y las normas para citas y referencias. </v>
      </c>
      <c r="C19" s="38" t="s">
        <v>7</v>
      </c>
      <c r="D19" s="17" t="str">
        <f t="shared" si="14"/>
        <v>X</v>
      </c>
      <c r="E19" s="17">
        <f>IF(D19="X",100*0.05,"")</f>
        <v>5</v>
      </c>
      <c r="F19" s="17" t="str">
        <f t="shared" si="16"/>
        <v/>
      </c>
      <c r="G19" s="17" t="str">
        <f t="shared" si="12"/>
        <v/>
      </c>
      <c r="H19" s="17" t="str">
        <f t="shared" si="18"/>
        <v/>
      </c>
      <c r="I19" s="17" t="str">
        <f t="shared" si="13"/>
        <v/>
      </c>
      <c r="J19" s="17" t="str">
        <f t="shared" si="20"/>
        <v/>
      </c>
      <c r="K19" s="17" t="str">
        <f t="shared" si="21"/>
        <v/>
      </c>
    </row>
    <row r="20" spans="1:11" ht="22.8" customHeight="1" outlineLevel="1" x14ac:dyDescent="0.45">
      <c r="A20" s="70"/>
      <c r="B20" s="40" t="str">
        <f>RUBRICA!A14</f>
        <v>10. Cumple completando el contenido del informe de presentación del proyecto de acuerdo con la plantilla entregada.</v>
      </c>
      <c r="C20" s="38" t="s">
        <v>7</v>
      </c>
      <c r="D20" s="17" t="str">
        <f t="shared" si="14"/>
        <v>X</v>
      </c>
      <c r="E20" s="17">
        <f t="shared" si="11"/>
        <v>5</v>
      </c>
      <c r="F20" s="17" t="str">
        <f t="shared" si="16"/>
        <v/>
      </c>
      <c r="G20" s="17" t="str">
        <f t="shared" si="12"/>
        <v/>
      </c>
      <c r="H20" s="17" t="str">
        <f t="shared" si="18"/>
        <v/>
      </c>
      <c r="I20" s="17" t="str">
        <f t="shared" si="13"/>
        <v/>
      </c>
      <c r="J20" s="17" t="str">
        <f t="shared" si="20"/>
        <v/>
      </c>
      <c r="K20" s="17" t="str">
        <f t="shared" si="21"/>
        <v/>
      </c>
    </row>
    <row r="21" spans="1:11" ht="23.25" outlineLevel="1" x14ac:dyDescent="0.45">
      <c r="A21" s="70"/>
      <c r="B21" s="40" t="str">
        <f>RUBRICA!A16</f>
        <v>12. Desarrolla un plan de trabajo que permita del logro de los objetivos propuestos del proyecto de 
acuerdo a los tiempos para su desarrollo</v>
      </c>
      <c r="C21" s="38" t="s">
        <v>7</v>
      </c>
      <c r="D21" s="17" t="str">
        <f t="shared" si="14"/>
        <v>X</v>
      </c>
      <c r="E21" s="17">
        <f>IF(D21="X",100*0.1,"")</f>
        <v>10</v>
      </c>
      <c r="F21" s="17" t="str">
        <f t="shared" si="16"/>
        <v/>
      </c>
      <c r="G21" s="17" t="str">
        <f>IF(F21="X",60*0.1,"")</f>
        <v/>
      </c>
      <c r="H21" s="17" t="str">
        <f t="shared" si="18"/>
        <v/>
      </c>
      <c r="I21" s="17" t="str">
        <f>IF(H21="X",30*0.1,"")</f>
        <v/>
      </c>
      <c r="J21" s="17" t="str">
        <f t="shared" si="20"/>
        <v/>
      </c>
      <c r="K21" s="17" t="str">
        <f t="shared" si="21"/>
        <v/>
      </c>
    </row>
    <row r="22" spans="1:11" ht="15.75" customHeight="1" outlineLevel="1" x14ac:dyDescent="0.55000000000000004">
      <c r="A22" s="54"/>
      <c r="B22" s="39" t="s">
        <v>6</v>
      </c>
      <c r="C22" s="43">
        <f>E22+G22+I22+K22</f>
        <v>70</v>
      </c>
      <c r="D22" s="20"/>
      <c r="E22" s="20">
        <f>SUM(E12:E21)</f>
        <v>70</v>
      </c>
      <c r="F22" s="20"/>
      <c r="G22" s="20">
        <f>SUM(G12:G21)</f>
        <v>0</v>
      </c>
      <c r="H22" s="20"/>
      <c r="I22" s="20">
        <f>SUM(I12:I21)</f>
        <v>0</v>
      </c>
      <c r="J22" s="20"/>
      <c r="K22" s="20">
        <f>SUM(K12:K21)</f>
        <v>0</v>
      </c>
    </row>
    <row r="23" spans="1:11" ht="15.75" customHeight="1" outlineLevel="1" x14ac:dyDescent="0.55000000000000004">
      <c r="A23" s="55"/>
      <c r="B23" s="42" t="s">
        <v>16</v>
      </c>
      <c r="C23" s="21">
        <f>VLOOKUP(C22,ESCALA_IEP!A2:B142,2,FALSE)</f>
        <v>7</v>
      </c>
    </row>
    <row r="24" spans="1:11" ht="15.75" customHeight="1" x14ac:dyDescent="0.45"/>
    <row r="25" spans="1:11" ht="15.75" customHeight="1" x14ac:dyDescent="0.45"/>
    <row r="26" spans="1:11" ht="15.75" customHeight="1" x14ac:dyDescent="0.45">
      <c r="A26" s="53" t="s">
        <v>18</v>
      </c>
      <c r="B26" s="56" t="s">
        <v>19</v>
      </c>
      <c r="C26" s="57" t="str">
        <f>$B$4</f>
        <v>PENA VARGAS CARLOS FELIPE</v>
      </c>
      <c r="D26" s="58"/>
      <c r="E26" s="58"/>
      <c r="F26" s="58"/>
      <c r="G26" s="58"/>
      <c r="H26" s="58"/>
      <c r="I26" s="58"/>
      <c r="J26" s="58"/>
      <c r="K26" s="59"/>
    </row>
    <row r="27" spans="1:11" ht="15.75" customHeight="1" x14ac:dyDescent="0.45">
      <c r="A27" s="54"/>
      <c r="B27" s="55"/>
      <c r="C27" s="60"/>
      <c r="D27" s="61"/>
      <c r="E27" s="61"/>
      <c r="F27" s="61"/>
      <c r="G27" s="61"/>
      <c r="H27" s="61"/>
      <c r="I27" s="61"/>
      <c r="J27" s="61"/>
      <c r="K27" s="62"/>
    </row>
    <row r="28" spans="1:11" ht="15.75" customHeight="1" x14ac:dyDescent="0.45">
      <c r="A28" s="54"/>
      <c r="B28" s="15" t="s">
        <v>20</v>
      </c>
      <c r="C28" s="63" t="s">
        <v>13</v>
      </c>
      <c r="D28" s="64" t="s">
        <v>14</v>
      </c>
      <c r="E28" s="65"/>
      <c r="F28" s="65"/>
      <c r="G28" s="65"/>
      <c r="H28" s="65"/>
      <c r="I28" s="65"/>
      <c r="J28" s="65"/>
      <c r="K28" s="66"/>
    </row>
    <row r="29" spans="1:11" ht="15.75" customHeight="1" x14ac:dyDescent="0.45">
      <c r="A29" s="54"/>
      <c r="B29" s="16" t="s">
        <v>15</v>
      </c>
      <c r="C29" s="55"/>
      <c r="D29" s="64" t="s">
        <v>7</v>
      </c>
      <c r="E29" s="66"/>
      <c r="F29" s="64" t="s">
        <v>8</v>
      </c>
      <c r="G29" s="66"/>
      <c r="H29" s="64" t="s">
        <v>9</v>
      </c>
      <c r="I29" s="66"/>
      <c r="J29" s="64" t="s">
        <v>10</v>
      </c>
      <c r="K29" s="66"/>
    </row>
    <row r="30" spans="1:11" ht="24.6" customHeight="1" x14ac:dyDescent="0.45">
      <c r="A30" s="54"/>
      <c r="B30" s="40" t="str">
        <f>RUBRICA!A7</f>
        <v>3. Relaciona el Proyecto APT con sus intereses profesionales. *</v>
      </c>
      <c r="C30" s="38" t="s">
        <v>7</v>
      </c>
      <c r="D30" s="17" t="str">
        <f t="shared" ref="D30:D31" si="27">IF($C30=CL,"X","")</f>
        <v>X</v>
      </c>
      <c r="E30" s="17">
        <f>IF(D30="X",100*0.1,"")</f>
        <v>10</v>
      </c>
      <c r="F30" s="17" t="str">
        <f t="shared" ref="F30:F31" si="28">IF($C30=L,"X","")</f>
        <v/>
      </c>
      <c r="G30" s="17" t="str">
        <f>IF(F30="X",60*0.1,"")</f>
        <v/>
      </c>
      <c r="H30" s="17" t="str">
        <f t="shared" ref="H30:H31" si="29">IF($C30=ML,"X","")</f>
        <v/>
      </c>
      <c r="I30" s="17" t="str">
        <f>IF(H30="X",30*0.1,"")</f>
        <v/>
      </c>
      <c r="J30" s="17" t="str">
        <f t="shared" ref="J30:J31" si="30">IF($C30=NL,"X","")</f>
        <v/>
      </c>
      <c r="K30" s="17" t="str">
        <f t="shared" ref="K30:K31" si="31">IF($J30="X",0,"")</f>
        <v/>
      </c>
    </row>
    <row r="31" spans="1:11" ht="25.8" customHeight="1" x14ac:dyDescent="0.45">
      <c r="A31" s="54"/>
      <c r="B31" s="40" t="str">
        <f>RUBRICA!A15</f>
        <v>11. Expone el tema utilizando un lenguaje técnico disciplinar al presentar la propuesta y responde evidenciando un manejo de la información. *</v>
      </c>
      <c r="C31" s="38" t="s">
        <v>7</v>
      </c>
      <c r="D31" s="17" t="str">
        <f t="shared" si="27"/>
        <v>X</v>
      </c>
      <c r="E31" s="17">
        <f>IF(D31="X",100*0.1,"")</f>
        <v>10</v>
      </c>
      <c r="F31" s="17" t="str">
        <f t="shared" si="28"/>
        <v/>
      </c>
      <c r="G31" s="17" t="str">
        <f>IF(F31="X",60*0.1,"")</f>
        <v/>
      </c>
      <c r="H31" s="17" t="str">
        <f t="shared" si="29"/>
        <v/>
      </c>
      <c r="I31" s="17" t="str">
        <f>IF(H31="X",30*0.1,"")</f>
        <v/>
      </c>
      <c r="J31" s="17" t="str">
        <f t="shared" si="30"/>
        <v/>
      </c>
      <c r="K31" s="17" t="str">
        <f t="shared" si="31"/>
        <v/>
      </c>
    </row>
    <row r="32" spans="1:11" ht="14.25" x14ac:dyDescent="0.45">
      <c r="A32" s="54"/>
      <c r="B32" s="40" t="str">
        <f>RUBRICA!A17</f>
        <v>13. Colaboración y trabajo en equipo *</v>
      </c>
      <c r="C32" s="38" t="s">
        <v>7</v>
      </c>
      <c r="D32" s="17" t="str">
        <f>IF($C32=CL,"X","")</f>
        <v>X</v>
      </c>
      <c r="E32" s="17">
        <f>IF(D32="X",100*0.1,"")</f>
        <v>10</v>
      </c>
      <c r="F32" s="17" t="str">
        <f>IF($C32=L,"X","")</f>
        <v/>
      </c>
      <c r="G32" s="17" t="str">
        <f>IF(F32="X",60*0.1,"")</f>
        <v/>
      </c>
      <c r="H32" s="17" t="str">
        <f>IF($C32=ML,"X","")</f>
        <v/>
      </c>
      <c r="I32" s="17" t="str">
        <f>IF(H32="X",30*0.1,"")</f>
        <v/>
      </c>
      <c r="J32" s="17" t="str">
        <f>IF($C32=NL,"X","")</f>
        <v/>
      </c>
      <c r="K32" s="17" t="str">
        <f>IF($J32="X",0,"")</f>
        <v/>
      </c>
    </row>
    <row r="33" spans="1:11" ht="15.75" customHeight="1" x14ac:dyDescent="0.55000000000000004">
      <c r="A33" s="54"/>
      <c r="B33" s="22" t="s">
        <v>17</v>
      </c>
      <c r="C33" s="19">
        <f>E33+G33+I33+K33</f>
        <v>30</v>
      </c>
      <c r="D33" s="20"/>
      <c r="E33" s="20">
        <f>SUM(E30:E32)</f>
        <v>30</v>
      </c>
      <c r="F33" s="20"/>
      <c r="G33" s="20">
        <f t="shared" ref="G33:K33" si="32">SUM(G30:G32)</f>
        <v>0</v>
      </c>
      <c r="H33" s="20"/>
      <c r="I33" s="20">
        <f t="shared" si="32"/>
        <v>0</v>
      </c>
      <c r="J33" s="20"/>
      <c r="K33" s="20">
        <f t="shared" si="32"/>
        <v>0</v>
      </c>
    </row>
    <row r="34" spans="1:11" ht="15.75" customHeight="1" x14ac:dyDescent="0.55000000000000004">
      <c r="A34" s="55"/>
      <c r="B34" s="18" t="s">
        <v>16</v>
      </c>
      <c r="C34" s="21">
        <f>VLOOKUP(C33,ESCALA_TRAB_EQUIP!A2:B62,2,FALSE)</f>
        <v>7</v>
      </c>
    </row>
    <row r="35" spans="1:11" ht="15.75" customHeight="1" x14ac:dyDescent="0.55000000000000004">
      <c r="B35" s="23"/>
      <c r="C35" s="24"/>
    </row>
    <row r="36" spans="1:11" ht="15.75" customHeight="1" x14ac:dyDescent="0.55000000000000004">
      <c r="B36" s="23"/>
      <c r="C36" s="24"/>
    </row>
    <row r="37" spans="1:11" ht="15.75" customHeight="1" x14ac:dyDescent="0.45"/>
    <row r="38" spans="1:11" ht="15.75" customHeight="1" x14ac:dyDescent="0.45">
      <c r="A38" s="53" t="s">
        <v>18</v>
      </c>
      <c r="B38" s="56" t="s">
        <v>19</v>
      </c>
      <c r="C38" s="57" t="str">
        <f>B5</f>
        <v>ROMERO GALAZ NICOLAS ALEJANDRO</v>
      </c>
      <c r="D38" s="58"/>
      <c r="E38" s="58"/>
      <c r="F38" s="58"/>
      <c r="G38" s="58"/>
      <c r="H38" s="58"/>
      <c r="I38" s="58"/>
      <c r="J38" s="58"/>
      <c r="K38" s="59"/>
    </row>
    <row r="39" spans="1:11" ht="15.75" customHeight="1" x14ac:dyDescent="0.45">
      <c r="A39" s="54"/>
      <c r="B39" s="55"/>
      <c r="C39" s="60"/>
      <c r="D39" s="61"/>
      <c r="E39" s="61"/>
      <c r="F39" s="61"/>
      <c r="G39" s="61"/>
      <c r="H39" s="61"/>
      <c r="I39" s="61"/>
      <c r="J39" s="61"/>
      <c r="K39" s="62"/>
    </row>
    <row r="40" spans="1:11" ht="15.75" customHeight="1" x14ac:dyDescent="0.45">
      <c r="A40" s="54"/>
      <c r="B40" s="15" t="s">
        <v>20</v>
      </c>
      <c r="C40" s="63" t="s">
        <v>13</v>
      </c>
      <c r="D40" s="64" t="s">
        <v>14</v>
      </c>
      <c r="E40" s="65"/>
      <c r="F40" s="65"/>
      <c r="G40" s="65"/>
      <c r="H40" s="65"/>
      <c r="I40" s="65"/>
      <c r="J40" s="65"/>
      <c r="K40" s="66"/>
    </row>
    <row r="41" spans="1:11" ht="15.75" customHeight="1" x14ac:dyDescent="0.45">
      <c r="A41" s="54"/>
      <c r="B41" s="16" t="s">
        <v>15</v>
      </c>
      <c r="C41" s="55"/>
      <c r="D41" s="64" t="s">
        <v>7</v>
      </c>
      <c r="E41" s="66"/>
      <c r="F41" s="64" t="s">
        <v>8</v>
      </c>
      <c r="G41" s="66"/>
      <c r="H41" s="64" t="s">
        <v>9</v>
      </c>
      <c r="I41" s="66"/>
      <c r="J41" s="64" t="s">
        <v>10</v>
      </c>
      <c r="K41" s="66"/>
    </row>
    <row r="42" spans="1:11" ht="25.8" customHeight="1" x14ac:dyDescent="0.45">
      <c r="A42" s="54"/>
      <c r="B42" s="40" t="str">
        <f>RUBRICA!A7</f>
        <v>3. Relaciona el Proyecto APT con sus intereses profesionales. *</v>
      </c>
      <c r="C42" s="38" t="s">
        <v>7</v>
      </c>
      <c r="D42" s="17" t="str">
        <f t="shared" ref="D42:D43" si="33">IF($C42=CL,"X","")</f>
        <v>X</v>
      </c>
      <c r="E42" s="17">
        <f>IF(D42="X",100*0.1,"")</f>
        <v>10</v>
      </c>
      <c r="F42" s="17" t="str">
        <f t="shared" ref="F42:F43" si="34">IF($C42=L,"X","")</f>
        <v/>
      </c>
      <c r="G42" s="17" t="str">
        <f>IF(F42="X",60*0.1,"")</f>
        <v/>
      </c>
      <c r="H42" s="17" t="str">
        <f t="shared" ref="H42:H43" si="35">IF($C42=ML,"X","")</f>
        <v/>
      </c>
      <c r="I42" s="17" t="str">
        <f>IF(H42="X",30*0.1,"")</f>
        <v/>
      </c>
      <c r="J42" s="17" t="str">
        <f t="shared" ref="J42:J43" si="36">IF($C42=NL,"X","")</f>
        <v/>
      </c>
      <c r="K42" s="17" t="str">
        <f t="shared" ref="K42:K43" si="37">IF($J42="X",0,"")</f>
        <v/>
      </c>
    </row>
    <row r="43" spans="1:11" ht="23.25" x14ac:dyDescent="0.45">
      <c r="A43" s="54"/>
      <c r="B43" s="40" t="str">
        <f>RUBRICA!A15</f>
        <v>11. Expone el tema utilizando un lenguaje técnico disciplinar al presentar la propuesta y responde evidenciando un manejo de la información. *</v>
      </c>
      <c r="C43" s="38" t="s">
        <v>7</v>
      </c>
      <c r="D43" s="17" t="str">
        <f t="shared" si="33"/>
        <v>X</v>
      </c>
      <c r="E43" s="17">
        <f>IF(D43="X",100*0.1,"")</f>
        <v>10</v>
      </c>
      <c r="F43" s="17" t="str">
        <f t="shared" si="34"/>
        <v/>
      </c>
      <c r="G43" s="17" t="str">
        <f>IF(F43="X",60*0.1,"")</f>
        <v/>
      </c>
      <c r="H43" s="17" t="str">
        <f t="shared" si="35"/>
        <v/>
      </c>
      <c r="I43" s="17" t="str">
        <f>IF(H43="X",30*0.1,"")</f>
        <v/>
      </c>
      <c r="J43" s="17" t="str">
        <f t="shared" si="36"/>
        <v/>
      </c>
      <c r="K43" s="17" t="str">
        <f t="shared" si="37"/>
        <v/>
      </c>
    </row>
    <row r="44" spans="1:11" ht="15.75" customHeight="1" x14ac:dyDescent="0.45">
      <c r="A44" s="54"/>
      <c r="B44" s="40" t="str">
        <f>RUBRICA!A17</f>
        <v>13. Colaboración y trabajo en equipo *</v>
      </c>
      <c r="C44" s="38" t="s">
        <v>7</v>
      </c>
      <c r="D44" s="17" t="str">
        <f>IF($C44=CL,"X","")</f>
        <v>X</v>
      </c>
      <c r="E44" s="17">
        <f>IF(D44="X",100*0.1,"")</f>
        <v>10</v>
      </c>
      <c r="F44" s="17" t="str">
        <f>IF($C44=L,"X","")</f>
        <v/>
      </c>
      <c r="G44" s="17" t="str">
        <f>IF(F44="X",60*0.1,"")</f>
        <v/>
      </c>
      <c r="H44" s="17" t="str">
        <f>IF($C44=ML,"X","")</f>
        <v/>
      </c>
      <c r="I44" s="17" t="str">
        <f>IF(H44="X",30*0.1,"")</f>
        <v/>
      </c>
      <c r="J44" s="17" t="str">
        <f>IF($C44=NL,"X","")</f>
        <v/>
      </c>
      <c r="K44" s="17" t="str">
        <f>IF($J44="X",0,"")</f>
        <v/>
      </c>
    </row>
    <row r="45" spans="1:11" ht="15.75" customHeight="1" x14ac:dyDescent="0.55000000000000004">
      <c r="A45" s="54"/>
      <c r="B45" s="22" t="s">
        <v>17</v>
      </c>
      <c r="C45" s="19">
        <f>E45+G45+I45+K45</f>
        <v>30</v>
      </c>
      <c r="D45" s="20"/>
      <c r="E45" s="20">
        <f>SUM(E42:E44)</f>
        <v>30</v>
      </c>
      <c r="F45" s="20"/>
      <c r="G45" s="20">
        <f t="shared" ref="G45" si="38">SUM(G42:G44)</f>
        <v>0</v>
      </c>
      <c r="H45" s="20"/>
      <c r="I45" s="20">
        <f t="shared" ref="I45" si="39">SUM(I42:I44)</f>
        <v>0</v>
      </c>
      <c r="J45" s="20"/>
      <c r="K45" s="20">
        <f t="shared" ref="K45" si="40">SUM(K42:K44)</f>
        <v>0</v>
      </c>
    </row>
    <row r="46" spans="1:11" ht="15.75" customHeight="1" x14ac:dyDescent="0.55000000000000004">
      <c r="A46" s="55"/>
      <c r="B46" s="18" t="s">
        <v>16</v>
      </c>
      <c r="C46" s="21">
        <f>VLOOKUP(C45,ESCALA_TRAB_EQUIP!A2:B62,2,FALSE)</f>
        <v>7</v>
      </c>
    </row>
    <row r="47" spans="1:11" ht="15.75" customHeight="1" x14ac:dyDescent="0.55000000000000004">
      <c r="B47" s="23"/>
      <c r="C47" s="24"/>
    </row>
    <row r="48" spans="1:11" ht="15.75" customHeight="1" x14ac:dyDescent="0.55000000000000004">
      <c r="B48" s="23"/>
      <c r="C48" s="24"/>
    </row>
    <row r="49" spans="1:11" ht="15.75" customHeight="1" x14ac:dyDescent="0.45">
      <c r="A49" s="53" t="s">
        <v>18</v>
      </c>
      <c r="B49" s="56" t="s">
        <v>19</v>
      </c>
      <c r="C49" s="57" t="str">
        <f>B6</f>
        <v>TAPIA BENIZ JASON MANUEL</v>
      </c>
      <c r="D49" s="58"/>
      <c r="E49" s="58"/>
      <c r="F49" s="58"/>
      <c r="G49" s="58"/>
      <c r="H49" s="58"/>
      <c r="I49" s="58"/>
      <c r="J49" s="58"/>
      <c r="K49" s="59"/>
    </row>
    <row r="50" spans="1:11" ht="15.75" customHeight="1" x14ac:dyDescent="0.45">
      <c r="A50" s="54"/>
      <c r="B50" s="55"/>
      <c r="C50" s="60"/>
      <c r="D50" s="61"/>
      <c r="E50" s="61"/>
      <c r="F50" s="61"/>
      <c r="G50" s="61"/>
      <c r="H50" s="61"/>
      <c r="I50" s="61"/>
      <c r="J50" s="61"/>
      <c r="K50" s="62"/>
    </row>
    <row r="51" spans="1:11" ht="15.75" customHeight="1" x14ac:dyDescent="0.45">
      <c r="A51" s="54"/>
      <c r="B51" s="15" t="s">
        <v>20</v>
      </c>
      <c r="C51" s="63" t="s">
        <v>13</v>
      </c>
      <c r="D51" s="64" t="s">
        <v>14</v>
      </c>
      <c r="E51" s="65"/>
      <c r="F51" s="65"/>
      <c r="G51" s="65"/>
      <c r="H51" s="65"/>
      <c r="I51" s="65"/>
      <c r="J51" s="65"/>
      <c r="K51" s="66"/>
    </row>
    <row r="52" spans="1:11" ht="15.75" customHeight="1" x14ac:dyDescent="0.45">
      <c r="A52" s="54"/>
      <c r="B52" s="16" t="s">
        <v>15</v>
      </c>
      <c r="C52" s="55"/>
      <c r="D52" s="64" t="s">
        <v>7</v>
      </c>
      <c r="E52" s="66"/>
      <c r="F52" s="64" t="s">
        <v>8</v>
      </c>
      <c r="G52" s="66"/>
      <c r="H52" s="64" t="s">
        <v>9</v>
      </c>
      <c r="I52" s="66"/>
      <c r="J52" s="64" t="s">
        <v>10</v>
      </c>
      <c r="K52" s="66"/>
    </row>
    <row r="53" spans="1:11" ht="25.8" customHeight="1" x14ac:dyDescent="0.45">
      <c r="A53" s="54"/>
      <c r="B53" s="40" t="str">
        <f>RUBRICA!A7</f>
        <v>3. Relaciona el Proyecto APT con sus intereses profesionales. *</v>
      </c>
      <c r="C53" s="38" t="s">
        <v>7</v>
      </c>
      <c r="D53" s="17" t="str">
        <f t="shared" ref="D53:D54" si="41">IF($C53=CL,"X","")</f>
        <v>X</v>
      </c>
      <c r="E53" s="17">
        <f>IF(D53="X",100*0.1,"")</f>
        <v>10</v>
      </c>
      <c r="F53" s="17" t="str">
        <f t="shared" ref="F53:F54" si="42">IF($C53=L,"X","")</f>
        <v/>
      </c>
      <c r="G53" s="17" t="str">
        <f>IF(F53="X",60*0.1,"")</f>
        <v/>
      </c>
      <c r="H53" s="17" t="str">
        <f t="shared" ref="H53:H54" si="43">IF($C53=ML,"X","")</f>
        <v/>
      </c>
      <c r="I53" s="17" t="str">
        <f>IF(H53="X",30*0.1,"")</f>
        <v/>
      </c>
      <c r="J53" s="17" t="str">
        <f t="shared" ref="J53:J54" si="44">IF($C53=NL,"X","")</f>
        <v/>
      </c>
      <c r="K53" s="17" t="str">
        <f t="shared" ref="K53:K54" si="45">IF($J53="X",0,"")</f>
        <v/>
      </c>
    </row>
    <row r="54" spans="1:11" ht="23.25" x14ac:dyDescent="0.45">
      <c r="A54" s="54"/>
      <c r="B54" s="40" t="str">
        <f>RUBRICA!A15</f>
        <v>11. Expone el tema utilizando un lenguaje técnico disciplinar al presentar la propuesta y responde evidenciando un manejo de la información. *</v>
      </c>
      <c r="C54" s="38" t="s">
        <v>7</v>
      </c>
      <c r="D54" s="17" t="str">
        <f t="shared" si="41"/>
        <v>X</v>
      </c>
      <c r="E54" s="17">
        <f>IF(D54="X",100*0.1,"")</f>
        <v>10</v>
      </c>
      <c r="F54" s="17" t="str">
        <f t="shared" si="42"/>
        <v/>
      </c>
      <c r="G54" s="17" t="str">
        <f>IF(F54="X",60*0.1,"")</f>
        <v/>
      </c>
      <c r="H54" s="17" t="str">
        <f t="shared" si="43"/>
        <v/>
      </c>
      <c r="I54" s="17" t="str">
        <f>IF(H54="X",30*0.1,"")</f>
        <v/>
      </c>
      <c r="J54" s="17" t="str">
        <f t="shared" si="44"/>
        <v/>
      </c>
      <c r="K54" s="17" t="str">
        <f t="shared" si="45"/>
        <v/>
      </c>
    </row>
    <row r="55" spans="1:11" ht="15.75" customHeight="1" x14ac:dyDescent="0.45">
      <c r="A55" s="54"/>
      <c r="B55" s="40" t="str">
        <f>RUBRICA!A17</f>
        <v>13. Colaboración y trabajo en equipo *</v>
      </c>
      <c r="C55" s="38" t="s">
        <v>7</v>
      </c>
      <c r="D55" s="17" t="str">
        <f>IF($C55=CL,"X","")</f>
        <v>X</v>
      </c>
      <c r="E55" s="17">
        <f>IF(D55="X",100*0.1,"")</f>
        <v>10</v>
      </c>
      <c r="F55" s="17" t="str">
        <f>IF($C55=L,"X","")</f>
        <v/>
      </c>
      <c r="G55" s="17" t="str">
        <f>IF(F55="X",60*0.1,"")</f>
        <v/>
      </c>
      <c r="H55" s="17" t="str">
        <f>IF($C55=ML,"X","")</f>
        <v/>
      </c>
      <c r="I55" s="17" t="str">
        <f>IF(H55="X",30*0.1,"")</f>
        <v/>
      </c>
      <c r="J55" s="17" t="str">
        <f>IF($C55=NL,"X","")</f>
        <v/>
      </c>
      <c r="K55" s="17" t="str">
        <f>IF($J55="X",0,"")</f>
        <v/>
      </c>
    </row>
    <row r="56" spans="1:11" ht="15.75" customHeight="1" x14ac:dyDescent="0.55000000000000004">
      <c r="A56" s="54"/>
      <c r="B56" s="22" t="s">
        <v>17</v>
      </c>
      <c r="C56" s="19">
        <f>E56+G56+I56+K56</f>
        <v>30</v>
      </c>
      <c r="D56" s="20">
        <f>COUNTIF(D54:D55,"X")</f>
        <v>2</v>
      </c>
      <c r="E56" s="20">
        <f>SUM(E53:E55)</f>
        <v>30</v>
      </c>
      <c r="F56" s="20">
        <f t="shared" ref="F56" si="46">SUM(F53:F55)</f>
        <v>0</v>
      </c>
      <c r="G56" s="20">
        <f t="shared" ref="G56" si="47">SUM(G53:G55)</f>
        <v>0</v>
      </c>
      <c r="H56" s="20">
        <f t="shared" ref="H56" si="48">SUM(H53:H55)</f>
        <v>0</v>
      </c>
      <c r="I56" s="20">
        <f t="shared" ref="I56" si="49">SUM(I53:I55)</f>
        <v>0</v>
      </c>
      <c r="J56" s="20">
        <f t="shared" ref="J56" si="50">SUM(J53:J55)</f>
        <v>0</v>
      </c>
      <c r="K56" s="20">
        <f t="shared" ref="K56" si="51">SUM(K53:K55)</f>
        <v>0</v>
      </c>
    </row>
    <row r="57" spans="1:11" ht="15.75" customHeight="1" x14ac:dyDescent="0.55000000000000004">
      <c r="A57" s="55"/>
      <c r="B57" s="18" t="s">
        <v>16</v>
      </c>
      <c r="C57" s="21">
        <f>VLOOKUP(C56,ESCALA_TRAB_EQUIP!A2:B62,2,FALSE)</f>
        <v>7</v>
      </c>
    </row>
    <row r="58" spans="1:11" ht="15.75" customHeight="1" x14ac:dyDescent="0.55000000000000004">
      <c r="B58" s="23"/>
      <c r="C58" s="24"/>
    </row>
    <row r="59" spans="1:11" ht="15.75" customHeight="1" x14ac:dyDescent="0.45"/>
    <row r="60" spans="1:11" ht="15.75" customHeight="1" x14ac:dyDescent="0.45">
      <c r="A60" s="53" t="s">
        <v>18</v>
      </c>
      <c r="B60" s="56" t="s">
        <v>19</v>
      </c>
      <c r="C60" s="57">
        <f>B7</f>
        <v>0</v>
      </c>
      <c r="D60" s="58"/>
      <c r="E60" s="58"/>
      <c r="F60" s="58"/>
      <c r="G60" s="58"/>
      <c r="H60" s="58"/>
      <c r="I60" s="58"/>
      <c r="J60" s="58"/>
      <c r="K60" s="59"/>
    </row>
    <row r="61" spans="1:11" ht="15.75" customHeight="1" x14ac:dyDescent="0.45">
      <c r="A61" s="54"/>
      <c r="B61" s="55"/>
      <c r="C61" s="60"/>
      <c r="D61" s="61"/>
      <c r="E61" s="61"/>
      <c r="F61" s="61"/>
      <c r="G61" s="61"/>
      <c r="H61" s="61"/>
      <c r="I61" s="61"/>
      <c r="J61" s="61"/>
      <c r="K61" s="62"/>
    </row>
    <row r="62" spans="1:11" ht="15.75" customHeight="1" x14ac:dyDescent="0.45">
      <c r="A62" s="54"/>
      <c r="B62" s="15" t="s">
        <v>20</v>
      </c>
      <c r="C62" s="63" t="s">
        <v>13</v>
      </c>
      <c r="D62" s="64" t="s">
        <v>14</v>
      </c>
      <c r="E62" s="65"/>
      <c r="F62" s="65"/>
      <c r="G62" s="65"/>
      <c r="H62" s="65"/>
      <c r="I62" s="65"/>
      <c r="J62" s="65"/>
      <c r="K62" s="66"/>
    </row>
    <row r="63" spans="1:11" ht="15.75" customHeight="1" x14ac:dyDescent="0.45">
      <c r="A63" s="54"/>
      <c r="B63" s="16" t="s">
        <v>15</v>
      </c>
      <c r="C63" s="55"/>
      <c r="D63" s="64" t="s">
        <v>7</v>
      </c>
      <c r="E63" s="66"/>
      <c r="F63" s="64" t="s">
        <v>8</v>
      </c>
      <c r="G63" s="66"/>
      <c r="H63" s="64" t="s">
        <v>9</v>
      </c>
      <c r="I63" s="66"/>
      <c r="J63" s="64" t="s">
        <v>10</v>
      </c>
      <c r="K63" s="66"/>
    </row>
    <row r="64" spans="1:11" ht="15.75" customHeight="1" x14ac:dyDescent="0.45">
      <c r="A64" s="54"/>
      <c r="B64" s="40" t="str">
        <f>RUBRICA!A18</f>
        <v>Total</v>
      </c>
      <c r="C64" s="38" t="s">
        <v>7</v>
      </c>
      <c r="D64" s="17" t="str">
        <f t="shared" ref="D64:D65" si="52">IF($C64=CL,"X","")</f>
        <v>X</v>
      </c>
      <c r="E64" s="17">
        <f>IF(D64="X",100*0.1,"")</f>
        <v>10</v>
      </c>
      <c r="F64" s="17" t="str">
        <f t="shared" ref="F64:F65" si="53">IF($C64=L,"X","")</f>
        <v/>
      </c>
      <c r="G64" s="17" t="str">
        <f>IF(F64="X",60*0.1,"")</f>
        <v/>
      </c>
      <c r="H64" s="17" t="str">
        <f t="shared" ref="H64:H65" si="54">IF($C64=ML,"X","")</f>
        <v/>
      </c>
      <c r="I64" s="17" t="str">
        <f>IF(H64="X",30*0.1,"")</f>
        <v/>
      </c>
      <c r="J64" s="17" t="str">
        <f t="shared" ref="J64:J65" si="55">IF($C64=NL,"X","")</f>
        <v/>
      </c>
      <c r="K64" s="17" t="str">
        <f t="shared" ref="K64:K65" si="56">IF($J64="X",0,"")</f>
        <v/>
      </c>
    </row>
    <row r="65" spans="1:11" ht="15.75" customHeight="1" x14ac:dyDescent="0.45">
      <c r="A65" s="54"/>
      <c r="B65" s="40">
        <f>RUBRICA!A26</f>
        <v>0</v>
      </c>
      <c r="C65" s="38" t="s">
        <v>7</v>
      </c>
      <c r="D65" s="17" t="str">
        <f t="shared" si="52"/>
        <v>X</v>
      </c>
      <c r="E65" s="17">
        <f>IF(D65="X",100*0.1,"")</f>
        <v>10</v>
      </c>
      <c r="F65" s="17" t="str">
        <f t="shared" si="53"/>
        <v/>
      </c>
      <c r="G65" s="17" t="str">
        <f>IF(F65="X",60*0.1,"")</f>
        <v/>
      </c>
      <c r="H65" s="17" t="str">
        <f t="shared" si="54"/>
        <v/>
      </c>
      <c r="I65" s="17" t="str">
        <f>IF(H65="X",30*0.1,"")</f>
        <v/>
      </c>
      <c r="J65" s="17" t="str">
        <f t="shared" si="55"/>
        <v/>
      </c>
      <c r="K65" s="17" t="str">
        <f t="shared" si="56"/>
        <v/>
      </c>
    </row>
    <row r="66" spans="1:11" ht="15.75" customHeight="1" x14ac:dyDescent="0.45">
      <c r="A66" s="54"/>
      <c r="B66" s="40">
        <f>RUBRICA!A28</f>
        <v>0</v>
      </c>
      <c r="C66" s="38" t="s">
        <v>7</v>
      </c>
      <c r="D66" s="17" t="str">
        <f>IF($C66=CL,"X","")</f>
        <v>X</v>
      </c>
      <c r="E66" s="17">
        <f>IF(D66="X",100*0.1,"")</f>
        <v>10</v>
      </c>
      <c r="F66" s="17" t="str">
        <f>IF($C66=L,"X","")</f>
        <v/>
      </c>
      <c r="G66" s="17" t="str">
        <f>IF(F66="X",60*0.1,"")</f>
        <v/>
      </c>
      <c r="H66" s="17" t="str">
        <f>IF($C66=ML,"X","")</f>
        <v/>
      </c>
      <c r="I66" s="17" t="str">
        <f>IF(H66="X",30*0.1,"")</f>
        <v/>
      </c>
      <c r="J66" s="17" t="str">
        <f>IF($C66=NL,"X","")</f>
        <v/>
      </c>
      <c r="K66" s="17" t="str">
        <f>IF($J66="X",0,"")</f>
        <v/>
      </c>
    </row>
    <row r="67" spans="1:11" ht="15.75" customHeight="1" x14ac:dyDescent="0.55000000000000004">
      <c r="A67" s="54"/>
      <c r="B67" s="22" t="s">
        <v>17</v>
      </c>
      <c r="C67" s="19">
        <f>E67+G67+I67+K67</f>
        <v>30</v>
      </c>
      <c r="D67" s="20">
        <f>COUNTIF(D65:D66,"X")</f>
        <v>2</v>
      </c>
      <c r="E67" s="20">
        <f>SUM(E64:E66)</f>
        <v>30</v>
      </c>
      <c r="F67" s="20">
        <f t="shared" ref="F67:K67" si="57">SUM(F64:F66)</f>
        <v>0</v>
      </c>
      <c r="G67" s="20">
        <f t="shared" si="57"/>
        <v>0</v>
      </c>
      <c r="H67" s="20">
        <f t="shared" si="57"/>
        <v>0</v>
      </c>
      <c r="I67" s="20">
        <f t="shared" si="57"/>
        <v>0</v>
      </c>
      <c r="J67" s="20">
        <f t="shared" si="57"/>
        <v>0</v>
      </c>
      <c r="K67" s="20">
        <f t="shared" si="57"/>
        <v>0</v>
      </c>
    </row>
    <row r="68" spans="1:11" ht="15.75" customHeight="1" x14ac:dyDescent="0.55000000000000004">
      <c r="A68" s="55"/>
      <c r="B68" s="18" t="s">
        <v>16</v>
      </c>
      <c r="C68" s="21">
        <f>VLOOKUP(C67,ESCALA_TRAB_EQUIP!A13:B73,2,FALSE)</f>
        <v>7</v>
      </c>
    </row>
    <row r="69" spans="1:11" ht="15.75" customHeight="1" x14ac:dyDescent="0.45"/>
    <row r="70" spans="1:11" ht="15.75" customHeight="1" x14ac:dyDescent="0.45"/>
    <row r="71" spans="1:11" ht="15.75" customHeight="1" x14ac:dyDescent="0.45"/>
    <row r="72" spans="1:11" ht="15.75" customHeight="1" x14ac:dyDescent="0.45"/>
    <row r="73" spans="1:11" ht="15.75" customHeight="1" x14ac:dyDescent="0.45"/>
    <row r="74" spans="1:11" ht="15.75" customHeight="1" x14ac:dyDescent="0.45"/>
    <row r="75" spans="1:11" ht="15.75" customHeight="1" x14ac:dyDescent="0.45"/>
    <row r="76" spans="1:11" ht="15.75" customHeight="1" x14ac:dyDescent="0.45"/>
    <row r="77" spans="1:11" ht="15.75" customHeight="1" x14ac:dyDescent="0.45"/>
    <row r="78" spans="1:11" ht="15.75" customHeight="1" x14ac:dyDescent="0.45"/>
    <row r="79" spans="1:11" ht="15.75" customHeight="1" x14ac:dyDescent="0.45"/>
    <row r="80" spans="1:11"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sheetData>
  <mergeCells count="44">
    <mergeCell ref="B49:B50"/>
    <mergeCell ref="C51:C52"/>
    <mergeCell ref="C49:K50"/>
    <mergeCell ref="J52:K52"/>
    <mergeCell ref="A49:A57"/>
    <mergeCell ref="H29:I29"/>
    <mergeCell ref="J29:K29"/>
    <mergeCell ref="D51:K51"/>
    <mergeCell ref="D52:E52"/>
    <mergeCell ref="F52:G52"/>
    <mergeCell ref="H52:I52"/>
    <mergeCell ref="A38:A46"/>
    <mergeCell ref="A26:A34"/>
    <mergeCell ref="E2:E3"/>
    <mergeCell ref="C10:C11"/>
    <mergeCell ref="D11:E11"/>
    <mergeCell ref="D10:K10"/>
    <mergeCell ref="F11:G11"/>
    <mergeCell ref="H11:I11"/>
    <mergeCell ref="J11:K11"/>
    <mergeCell ref="A10:A23"/>
    <mergeCell ref="B26:B27"/>
    <mergeCell ref="C26:K27"/>
    <mergeCell ref="C28:C29"/>
    <mergeCell ref="D28:K28"/>
    <mergeCell ref="D29:E29"/>
    <mergeCell ref="F29:G29"/>
    <mergeCell ref="B38:B39"/>
    <mergeCell ref="C38:K39"/>
    <mergeCell ref="C40:C41"/>
    <mergeCell ref="D40:K40"/>
    <mergeCell ref="D41:E41"/>
    <mergeCell ref="F41:G41"/>
    <mergeCell ref="H41:I41"/>
    <mergeCell ref="J41:K41"/>
    <mergeCell ref="A60:A68"/>
    <mergeCell ref="B60:B61"/>
    <mergeCell ref="C60:K61"/>
    <mergeCell ref="C62:C63"/>
    <mergeCell ref="D62:K62"/>
    <mergeCell ref="D63:E63"/>
    <mergeCell ref="F63:G63"/>
    <mergeCell ref="H63:I63"/>
    <mergeCell ref="J63:K63"/>
  </mergeCells>
  <conditionalFormatting sqref="C4:E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C12:C21 C53:C55 C42:C44 C30:C32 C64:C66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topLeftCell="A13" zoomScale="80" zoomScaleNormal="80" workbookViewId="0">
      <selection activeCell="F19" sqref="F19"/>
    </sheetView>
  </sheetViews>
  <sheetFormatPr baseColWidth="10" defaultRowHeight="14.25" x14ac:dyDescent="0.45"/>
  <cols>
    <col min="1" max="1" width="39.46484375" customWidth="1"/>
    <col min="2" max="2" width="40.19921875" customWidth="1"/>
    <col min="3" max="3" width="31.796875" customWidth="1"/>
    <col min="4" max="4" width="38.6640625" customWidth="1"/>
    <col min="5" max="5" width="38.46484375" customWidth="1"/>
  </cols>
  <sheetData>
    <row r="1" spans="1:6" ht="14.65" thickBot="1" x14ac:dyDescent="0.5"/>
    <row r="2" spans="1:6" ht="14.65" thickBot="1" x14ac:dyDescent="0.5">
      <c r="A2" s="74" t="s">
        <v>21</v>
      </c>
      <c r="B2" s="77" t="s">
        <v>22</v>
      </c>
      <c r="C2" s="78"/>
      <c r="D2" s="78"/>
      <c r="E2" s="79"/>
      <c r="F2" s="74" t="s">
        <v>23</v>
      </c>
    </row>
    <row r="3" spans="1:6" x14ac:dyDescent="0.45">
      <c r="A3" s="75"/>
      <c r="B3" s="80" t="s">
        <v>24</v>
      </c>
      <c r="C3" s="80" t="s">
        <v>25</v>
      </c>
      <c r="D3" s="26" t="s">
        <v>26</v>
      </c>
      <c r="E3" s="28" t="s">
        <v>10</v>
      </c>
      <c r="F3" s="75"/>
    </row>
    <row r="4" spans="1:6" ht="57.6" customHeight="1" thickBot="1" x14ac:dyDescent="0.5">
      <c r="A4" s="76"/>
      <c r="B4" s="81"/>
      <c r="C4" s="81"/>
      <c r="D4" s="27">
        <v>-0.3</v>
      </c>
      <c r="E4" s="27">
        <v>0</v>
      </c>
      <c r="F4" s="76"/>
    </row>
    <row r="5" spans="1:6" ht="66" thickBot="1" x14ac:dyDescent="0.5">
      <c r="A5" s="29" t="s">
        <v>27</v>
      </c>
      <c r="B5" s="30" t="s">
        <v>28</v>
      </c>
      <c r="C5" s="30" t="s">
        <v>29</v>
      </c>
      <c r="D5" s="30" t="s">
        <v>30</v>
      </c>
      <c r="E5" s="30" t="s">
        <v>31</v>
      </c>
      <c r="F5" s="31">
        <v>10</v>
      </c>
    </row>
    <row r="6" spans="1:6" ht="66" thickBot="1" x14ac:dyDescent="0.5">
      <c r="A6" s="34" t="s">
        <v>32</v>
      </c>
      <c r="B6" s="34" t="s">
        <v>33</v>
      </c>
      <c r="C6" s="34" t="s">
        <v>34</v>
      </c>
      <c r="D6" s="34" t="s">
        <v>35</v>
      </c>
      <c r="E6" s="32" t="s">
        <v>72</v>
      </c>
      <c r="F6" s="35">
        <v>5</v>
      </c>
    </row>
    <row r="7" spans="1:6" ht="94.8" customHeight="1" thickBot="1" x14ac:dyDescent="0.5">
      <c r="A7" s="37" t="s">
        <v>36</v>
      </c>
      <c r="B7" s="37" t="s">
        <v>37</v>
      </c>
      <c r="C7" s="37" t="s">
        <v>38</v>
      </c>
      <c r="D7" s="37" t="s">
        <v>39</v>
      </c>
      <c r="E7" s="37" t="s">
        <v>40</v>
      </c>
      <c r="F7" s="36">
        <v>10</v>
      </c>
    </row>
    <row r="8" spans="1:6" ht="65.650000000000006" x14ac:dyDescent="0.45">
      <c r="A8" s="37" t="s">
        <v>41</v>
      </c>
      <c r="B8" s="37" t="s">
        <v>42</v>
      </c>
      <c r="C8" s="37" t="s">
        <v>73</v>
      </c>
      <c r="D8" s="37" t="s">
        <v>74</v>
      </c>
      <c r="E8" s="37" t="s">
        <v>75</v>
      </c>
      <c r="F8" s="36">
        <v>5</v>
      </c>
    </row>
    <row r="9" spans="1:6" ht="65.45" customHeight="1" thickBot="1" x14ac:dyDescent="0.5">
      <c r="A9" s="29" t="s">
        <v>43</v>
      </c>
      <c r="B9" s="30" t="s">
        <v>44</v>
      </c>
      <c r="C9" s="30" t="s">
        <v>45</v>
      </c>
      <c r="D9" s="30" t="s">
        <v>46</v>
      </c>
      <c r="E9" s="30" t="s">
        <v>47</v>
      </c>
      <c r="F9" s="31">
        <v>5</v>
      </c>
    </row>
    <row r="10" spans="1:6" ht="52.9" thickBot="1" x14ac:dyDescent="0.5">
      <c r="A10" s="29" t="s">
        <v>48</v>
      </c>
      <c r="B10" s="30" t="s">
        <v>49</v>
      </c>
      <c r="C10" s="30" t="s">
        <v>50</v>
      </c>
      <c r="D10" s="30" t="s">
        <v>51</v>
      </c>
      <c r="E10" s="30" t="s">
        <v>52</v>
      </c>
      <c r="F10" s="31">
        <v>10</v>
      </c>
    </row>
    <row r="11" spans="1:6" ht="65.650000000000006" x14ac:dyDescent="0.45">
      <c r="A11" s="34" t="s">
        <v>53</v>
      </c>
      <c r="B11" s="34" t="s">
        <v>54</v>
      </c>
      <c r="C11" s="34" t="s">
        <v>55</v>
      </c>
      <c r="D11" s="34" t="s">
        <v>56</v>
      </c>
      <c r="E11" s="34" t="s">
        <v>57</v>
      </c>
      <c r="F11" s="35">
        <v>10</v>
      </c>
    </row>
    <row r="12" spans="1:6" ht="52.5" x14ac:dyDescent="0.45">
      <c r="A12" s="46" t="s">
        <v>58</v>
      </c>
      <c r="B12" s="32" t="s">
        <v>59</v>
      </c>
      <c r="C12" s="32" t="s">
        <v>60</v>
      </c>
      <c r="D12" s="32" t="s">
        <v>61</v>
      </c>
      <c r="E12" s="32" t="s">
        <v>62</v>
      </c>
      <c r="F12" s="47">
        <v>5</v>
      </c>
    </row>
    <row r="13" spans="1:6" ht="94.25" customHeight="1" x14ac:dyDescent="0.45">
      <c r="A13" s="37" t="s">
        <v>63</v>
      </c>
      <c r="B13" s="37" t="s">
        <v>76</v>
      </c>
      <c r="C13" s="37" t="s">
        <v>64</v>
      </c>
      <c r="D13" s="37" t="s">
        <v>65</v>
      </c>
      <c r="E13" s="37" t="s">
        <v>66</v>
      </c>
      <c r="F13" s="48">
        <v>5</v>
      </c>
    </row>
    <row r="14" spans="1:6" ht="65.650000000000006" x14ac:dyDescent="0.45">
      <c r="A14" s="49" t="s">
        <v>85</v>
      </c>
      <c r="B14" s="49" t="s">
        <v>86</v>
      </c>
      <c r="C14" s="49" t="s">
        <v>87</v>
      </c>
      <c r="D14" s="49" t="s">
        <v>88</v>
      </c>
      <c r="E14" s="49" t="s">
        <v>89</v>
      </c>
      <c r="F14" s="48">
        <v>5</v>
      </c>
    </row>
    <row r="15" spans="1:6" ht="66" thickBot="1" x14ac:dyDescent="0.5">
      <c r="A15" s="29" t="s">
        <v>84</v>
      </c>
      <c r="B15" s="45" t="s">
        <v>79</v>
      </c>
      <c r="C15" s="30" t="s">
        <v>80</v>
      </c>
      <c r="D15" s="30" t="s">
        <v>81</v>
      </c>
      <c r="E15" s="30" t="s">
        <v>82</v>
      </c>
      <c r="F15" s="31">
        <v>10</v>
      </c>
    </row>
    <row r="16" spans="1:6" ht="66" thickBot="1" x14ac:dyDescent="0.5">
      <c r="A16" s="44" t="s">
        <v>90</v>
      </c>
      <c r="B16" s="45" t="s">
        <v>91</v>
      </c>
      <c r="C16" s="45" t="s">
        <v>92</v>
      </c>
      <c r="D16" s="45" t="s">
        <v>93</v>
      </c>
      <c r="E16" s="45" t="s">
        <v>94</v>
      </c>
      <c r="F16" s="31">
        <v>10</v>
      </c>
    </row>
    <row r="17" spans="1:6" ht="92.25" thickBot="1" x14ac:dyDescent="0.5">
      <c r="A17" s="29" t="s">
        <v>83</v>
      </c>
      <c r="B17" s="30" t="s">
        <v>67</v>
      </c>
      <c r="C17" s="30" t="s">
        <v>68</v>
      </c>
      <c r="D17" s="30" t="s">
        <v>69</v>
      </c>
      <c r="E17" s="30" t="s">
        <v>70</v>
      </c>
      <c r="F17" s="31">
        <v>10</v>
      </c>
    </row>
    <row r="18" spans="1:6" ht="14.65" thickBot="1" x14ac:dyDescent="0.5">
      <c r="A18" s="71" t="s">
        <v>71</v>
      </c>
      <c r="B18" s="72"/>
      <c r="C18" s="72"/>
      <c r="D18" s="72"/>
      <c r="E18" s="73"/>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6484375" defaultRowHeight="15" customHeight="1" x14ac:dyDescent="0.45"/>
  <cols>
    <col min="1" max="21" width="10.6640625" customWidth="1"/>
  </cols>
  <sheetData>
    <row r="1" spans="1:2" ht="14.25" x14ac:dyDescent="0.45">
      <c r="A1" t="s">
        <v>6</v>
      </c>
      <c r="B1" t="s">
        <v>16</v>
      </c>
    </row>
    <row r="2" spans="1:2" ht="14.25" x14ac:dyDescent="0.45">
      <c r="A2">
        <v>0</v>
      </c>
      <c r="B2" s="51">
        <v>1</v>
      </c>
    </row>
    <row r="3" spans="1:2" ht="14.25" x14ac:dyDescent="0.45">
      <c r="A3">
        <v>0.5</v>
      </c>
      <c r="B3" s="51">
        <v>1</v>
      </c>
    </row>
    <row r="4" spans="1:2" ht="14.25" x14ac:dyDescent="0.45">
      <c r="A4">
        <v>1</v>
      </c>
      <c r="B4" s="51">
        <v>1.1000000000000001</v>
      </c>
    </row>
    <row r="5" spans="1:2" ht="14.25" x14ac:dyDescent="0.45">
      <c r="A5">
        <v>1.5</v>
      </c>
      <c r="B5" s="51">
        <v>1.1000000000000001</v>
      </c>
    </row>
    <row r="6" spans="1:2" ht="14.25" x14ac:dyDescent="0.45">
      <c r="A6">
        <v>2</v>
      </c>
      <c r="B6" s="51">
        <v>1.1000000000000001</v>
      </c>
    </row>
    <row r="7" spans="1:2" ht="14.25" x14ac:dyDescent="0.45">
      <c r="A7">
        <v>2.5</v>
      </c>
      <c r="B7" s="51">
        <v>1.2</v>
      </c>
    </row>
    <row r="8" spans="1:2" ht="14.25" x14ac:dyDescent="0.45">
      <c r="A8">
        <v>3</v>
      </c>
      <c r="B8" s="51">
        <v>1.2</v>
      </c>
    </row>
    <row r="9" spans="1:2" ht="14.25" x14ac:dyDescent="0.45">
      <c r="A9">
        <v>3.5</v>
      </c>
      <c r="B9" s="51">
        <v>1.3</v>
      </c>
    </row>
    <row r="10" spans="1:2" ht="14.25" x14ac:dyDescent="0.45">
      <c r="A10">
        <v>4</v>
      </c>
      <c r="B10" s="51">
        <v>1.3</v>
      </c>
    </row>
    <row r="11" spans="1:2" ht="14.25" x14ac:dyDescent="0.45">
      <c r="A11">
        <v>4.5</v>
      </c>
      <c r="B11" s="51">
        <v>1.3</v>
      </c>
    </row>
    <row r="12" spans="1:2" ht="14.25" x14ac:dyDescent="0.45">
      <c r="A12">
        <v>5</v>
      </c>
      <c r="B12" s="51">
        <v>1.4</v>
      </c>
    </row>
    <row r="13" spans="1:2" ht="14.25" x14ac:dyDescent="0.45">
      <c r="A13">
        <v>5.5</v>
      </c>
      <c r="B13" s="51">
        <v>1.4</v>
      </c>
    </row>
    <row r="14" spans="1:2" ht="14.25" x14ac:dyDescent="0.45">
      <c r="A14">
        <v>6</v>
      </c>
      <c r="B14" s="51">
        <v>1.4</v>
      </c>
    </row>
    <row r="15" spans="1:2" ht="14.25" x14ac:dyDescent="0.45">
      <c r="A15">
        <v>6.5</v>
      </c>
      <c r="B15" s="51">
        <v>1.5</v>
      </c>
    </row>
    <row r="16" spans="1:2" ht="14.25" x14ac:dyDescent="0.45">
      <c r="A16">
        <v>7</v>
      </c>
      <c r="B16" s="51">
        <v>1.5</v>
      </c>
    </row>
    <row r="17" spans="1:2" ht="14.25" x14ac:dyDescent="0.45">
      <c r="A17">
        <v>7.5</v>
      </c>
      <c r="B17" s="51">
        <v>1.5</v>
      </c>
    </row>
    <row r="18" spans="1:2" ht="14.25" x14ac:dyDescent="0.45">
      <c r="A18">
        <v>8</v>
      </c>
      <c r="B18" s="51">
        <v>1.6</v>
      </c>
    </row>
    <row r="19" spans="1:2" ht="14.25" x14ac:dyDescent="0.45">
      <c r="A19">
        <v>8.5</v>
      </c>
      <c r="B19" s="51">
        <v>1.6</v>
      </c>
    </row>
    <row r="20" spans="1:2" ht="14.25" x14ac:dyDescent="0.45">
      <c r="A20">
        <v>9</v>
      </c>
      <c r="B20" s="51">
        <v>1.6</v>
      </c>
    </row>
    <row r="21" spans="1:2" ht="15.75" customHeight="1" x14ac:dyDescent="0.45">
      <c r="A21">
        <v>9.5</v>
      </c>
      <c r="B21" s="51">
        <v>1.7</v>
      </c>
    </row>
    <row r="22" spans="1:2" ht="15.75" customHeight="1" x14ac:dyDescent="0.45">
      <c r="A22">
        <v>10</v>
      </c>
      <c r="B22" s="51">
        <v>1.7</v>
      </c>
    </row>
    <row r="23" spans="1:2" ht="15.75" customHeight="1" x14ac:dyDescent="0.45">
      <c r="A23">
        <v>10.5</v>
      </c>
      <c r="B23" s="51">
        <v>1.8</v>
      </c>
    </row>
    <row r="24" spans="1:2" ht="15.75" customHeight="1" x14ac:dyDescent="0.45">
      <c r="A24">
        <v>11</v>
      </c>
      <c r="B24" s="51">
        <v>1.8</v>
      </c>
    </row>
    <row r="25" spans="1:2" ht="15.75" customHeight="1" x14ac:dyDescent="0.45">
      <c r="A25">
        <v>11.5</v>
      </c>
      <c r="B25" s="51">
        <v>1.8</v>
      </c>
    </row>
    <row r="26" spans="1:2" ht="15.75" customHeight="1" x14ac:dyDescent="0.45">
      <c r="A26">
        <v>12</v>
      </c>
      <c r="B26" s="51">
        <v>1.9</v>
      </c>
    </row>
    <row r="27" spans="1:2" ht="15.75" customHeight="1" x14ac:dyDescent="0.45">
      <c r="A27">
        <v>12.5</v>
      </c>
      <c r="B27" s="51">
        <v>1.9</v>
      </c>
    </row>
    <row r="28" spans="1:2" ht="15.75" customHeight="1" x14ac:dyDescent="0.45">
      <c r="A28">
        <v>13</v>
      </c>
      <c r="B28" s="51">
        <v>1.9</v>
      </c>
    </row>
    <row r="29" spans="1:2" ht="15.75" customHeight="1" x14ac:dyDescent="0.45">
      <c r="A29">
        <v>13.5</v>
      </c>
      <c r="B29" s="51">
        <v>2</v>
      </c>
    </row>
    <row r="30" spans="1:2" ht="15.75" customHeight="1" x14ac:dyDescent="0.45">
      <c r="A30">
        <v>14</v>
      </c>
      <c r="B30" s="51">
        <v>2</v>
      </c>
    </row>
    <row r="31" spans="1:2" ht="15.75" customHeight="1" x14ac:dyDescent="0.45">
      <c r="A31">
        <v>14.5</v>
      </c>
      <c r="B31" s="51">
        <v>2</v>
      </c>
    </row>
    <row r="32" spans="1:2" ht="15.75" customHeight="1" x14ac:dyDescent="0.45">
      <c r="A32">
        <v>15</v>
      </c>
      <c r="B32" s="51">
        <v>2.1</v>
      </c>
    </row>
    <row r="33" spans="1:2" ht="15.75" customHeight="1" x14ac:dyDescent="0.45">
      <c r="A33">
        <v>15.5</v>
      </c>
      <c r="B33" s="51">
        <v>2.1</v>
      </c>
    </row>
    <row r="34" spans="1:2" ht="15.75" customHeight="1" x14ac:dyDescent="0.45">
      <c r="A34">
        <v>16</v>
      </c>
      <c r="B34" s="51">
        <v>2.1</v>
      </c>
    </row>
    <row r="35" spans="1:2" ht="15.75" customHeight="1" x14ac:dyDescent="0.45">
      <c r="A35">
        <v>16.5</v>
      </c>
      <c r="B35" s="51">
        <v>2.2000000000000002</v>
      </c>
    </row>
    <row r="36" spans="1:2" ht="15.75" customHeight="1" x14ac:dyDescent="0.45">
      <c r="A36">
        <v>17</v>
      </c>
      <c r="B36" s="51">
        <v>2.2000000000000002</v>
      </c>
    </row>
    <row r="37" spans="1:2" ht="15.75" customHeight="1" x14ac:dyDescent="0.45">
      <c r="A37">
        <v>17.5</v>
      </c>
      <c r="B37" s="51">
        <v>2.2999999999999998</v>
      </c>
    </row>
    <row r="38" spans="1:2" ht="15.75" customHeight="1" x14ac:dyDescent="0.45">
      <c r="A38">
        <v>18</v>
      </c>
      <c r="B38" s="51">
        <v>2.2999999999999998</v>
      </c>
    </row>
    <row r="39" spans="1:2" ht="15.75" customHeight="1" x14ac:dyDescent="0.45">
      <c r="A39">
        <v>18.5</v>
      </c>
      <c r="B39" s="51">
        <v>2.2999999999999998</v>
      </c>
    </row>
    <row r="40" spans="1:2" ht="15.75" customHeight="1" x14ac:dyDescent="0.45">
      <c r="A40">
        <v>19</v>
      </c>
      <c r="B40" s="51">
        <v>2.4</v>
      </c>
    </row>
    <row r="41" spans="1:2" ht="15.75" customHeight="1" x14ac:dyDescent="0.45">
      <c r="A41">
        <v>19.5</v>
      </c>
      <c r="B41" s="51">
        <v>2.4</v>
      </c>
    </row>
    <row r="42" spans="1:2" ht="15.75" customHeight="1" x14ac:dyDescent="0.45">
      <c r="A42">
        <v>20</v>
      </c>
      <c r="B42" s="51">
        <v>2.4</v>
      </c>
    </row>
    <row r="43" spans="1:2" ht="15.75" customHeight="1" x14ac:dyDescent="0.45">
      <c r="A43">
        <v>20.5</v>
      </c>
      <c r="B43" s="51">
        <v>2.5</v>
      </c>
    </row>
    <row r="44" spans="1:2" ht="15.75" customHeight="1" x14ac:dyDescent="0.45">
      <c r="A44">
        <v>21</v>
      </c>
      <c r="B44" s="51">
        <v>2.5</v>
      </c>
    </row>
    <row r="45" spans="1:2" ht="15.75" customHeight="1" x14ac:dyDescent="0.45">
      <c r="A45">
        <v>21.5</v>
      </c>
      <c r="B45" s="51">
        <v>2.5</v>
      </c>
    </row>
    <row r="46" spans="1:2" ht="15.75" customHeight="1" x14ac:dyDescent="0.45">
      <c r="A46">
        <v>22</v>
      </c>
      <c r="B46" s="51">
        <v>2.6</v>
      </c>
    </row>
    <row r="47" spans="1:2" ht="15.75" customHeight="1" x14ac:dyDescent="0.45">
      <c r="A47">
        <v>22.5</v>
      </c>
      <c r="B47" s="51">
        <v>2.6</v>
      </c>
    </row>
    <row r="48" spans="1:2" ht="15.75" customHeight="1" x14ac:dyDescent="0.45">
      <c r="A48">
        <v>23</v>
      </c>
      <c r="B48" s="51">
        <v>2.6</v>
      </c>
    </row>
    <row r="49" spans="1:2" ht="15.75" customHeight="1" x14ac:dyDescent="0.45">
      <c r="A49">
        <v>23.5</v>
      </c>
      <c r="B49" s="51">
        <v>2.7</v>
      </c>
    </row>
    <row r="50" spans="1:2" ht="15.75" customHeight="1" x14ac:dyDescent="0.45">
      <c r="A50">
        <v>24</v>
      </c>
      <c r="B50" s="51">
        <v>2.7</v>
      </c>
    </row>
    <row r="51" spans="1:2" ht="15.75" customHeight="1" x14ac:dyDescent="0.45">
      <c r="A51">
        <v>24.5</v>
      </c>
      <c r="B51" s="51">
        <v>2.8</v>
      </c>
    </row>
    <row r="52" spans="1:2" ht="15.75" customHeight="1" x14ac:dyDescent="0.45">
      <c r="A52">
        <v>25</v>
      </c>
      <c r="B52" s="51">
        <v>2.8</v>
      </c>
    </row>
    <row r="53" spans="1:2" ht="15.75" customHeight="1" x14ac:dyDescent="0.45">
      <c r="A53">
        <v>25.5</v>
      </c>
      <c r="B53" s="51">
        <v>2.8</v>
      </c>
    </row>
    <row r="54" spans="1:2" ht="15.75" customHeight="1" x14ac:dyDescent="0.45">
      <c r="A54">
        <v>26</v>
      </c>
      <c r="B54" s="51">
        <v>2.9</v>
      </c>
    </row>
    <row r="55" spans="1:2" ht="15.75" customHeight="1" x14ac:dyDescent="0.45">
      <c r="A55">
        <v>26.5</v>
      </c>
      <c r="B55" s="51">
        <v>2.9</v>
      </c>
    </row>
    <row r="56" spans="1:2" ht="15.75" customHeight="1" x14ac:dyDescent="0.45">
      <c r="A56">
        <v>27</v>
      </c>
      <c r="B56" s="51">
        <v>2.9</v>
      </c>
    </row>
    <row r="57" spans="1:2" ht="15.75" customHeight="1" x14ac:dyDescent="0.45">
      <c r="A57">
        <v>27.5</v>
      </c>
      <c r="B57" s="51">
        <v>3</v>
      </c>
    </row>
    <row r="58" spans="1:2" ht="15.75" customHeight="1" x14ac:dyDescent="0.45">
      <c r="A58">
        <v>28</v>
      </c>
      <c r="B58" s="51">
        <v>3</v>
      </c>
    </row>
    <row r="59" spans="1:2" ht="15.75" customHeight="1" x14ac:dyDescent="0.45">
      <c r="A59">
        <v>28.5</v>
      </c>
      <c r="B59" s="51">
        <v>3</v>
      </c>
    </row>
    <row r="60" spans="1:2" ht="15.75" customHeight="1" x14ac:dyDescent="0.45">
      <c r="A60">
        <v>29</v>
      </c>
      <c r="B60" s="51">
        <v>3.1</v>
      </c>
    </row>
    <row r="61" spans="1:2" ht="15.75" customHeight="1" x14ac:dyDescent="0.45">
      <c r="A61">
        <v>29.5</v>
      </c>
      <c r="B61" s="51">
        <v>3.1</v>
      </c>
    </row>
    <row r="62" spans="1:2" ht="15.75" customHeight="1" x14ac:dyDescent="0.45">
      <c r="A62">
        <v>30</v>
      </c>
      <c r="B62" s="51">
        <v>3.1</v>
      </c>
    </row>
    <row r="63" spans="1:2" ht="15.75" customHeight="1" x14ac:dyDescent="0.45">
      <c r="A63">
        <v>30.5</v>
      </c>
      <c r="B63" s="51">
        <v>3.2</v>
      </c>
    </row>
    <row r="64" spans="1:2" ht="15.75" customHeight="1" x14ac:dyDescent="0.45">
      <c r="A64">
        <v>31</v>
      </c>
      <c r="B64" s="51">
        <v>3.2</v>
      </c>
    </row>
    <row r="65" spans="1:2" ht="15.75" customHeight="1" x14ac:dyDescent="0.45">
      <c r="A65">
        <v>31.5</v>
      </c>
      <c r="B65" s="51">
        <v>3.3</v>
      </c>
    </row>
    <row r="66" spans="1:2" ht="15.75" customHeight="1" x14ac:dyDescent="0.45">
      <c r="A66">
        <v>32</v>
      </c>
      <c r="B66" s="51">
        <v>3.3</v>
      </c>
    </row>
    <row r="67" spans="1:2" ht="15.75" customHeight="1" x14ac:dyDescent="0.45">
      <c r="A67">
        <v>32.5</v>
      </c>
      <c r="B67" s="51">
        <v>3.3</v>
      </c>
    </row>
    <row r="68" spans="1:2" ht="15.75" customHeight="1" x14ac:dyDescent="0.45">
      <c r="A68">
        <v>33</v>
      </c>
      <c r="B68" s="51">
        <v>3.4</v>
      </c>
    </row>
    <row r="69" spans="1:2" ht="15.75" customHeight="1" x14ac:dyDescent="0.45">
      <c r="A69">
        <v>33.5</v>
      </c>
      <c r="B69" s="51">
        <v>3.4</v>
      </c>
    </row>
    <row r="70" spans="1:2" ht="15.75" customHeight="1" x14ac:dyDescent="0.45">
      <c r="A70">
        <v>34</v>
      </c>
      <c r="B70" s="51">
        <v>3.4</v>
      </c>
    </row>
    <row r="71" spans="1:2" ht="15.75" customHeight="1" x14ac:dyDescent="0.45">
      <c r="A71">
        <v>34.5</v>
      </c>
      <c r="B71" s="51">
        <v>3.5</v>
      </c>
    </row>
    <row r="72" spans="1:2" ht="15.75" customHeight="1" x14ac:dyDescent="0.45">
      <c r="A72">
        <v>35</v>
      </c>
      <c r="B72" s="51">
        <v>3.5</v>
      </c>
    </row>
    <row r="73" spans="1:2" ht="15.75" customHeight="1" x14ac:dyDescent="0.45">
      <c r="A73">
        <v>35.5</v>
      </c>
      <c r="B73" s="51">
        <v>3.5</v>
      </c>
    </row>
    <row r="74" spans="1:2" ht="15.75" customHeight="1" x14ac:dyDescent="0.45">
      <c r="A74">
        <v>36</v>
      </c>
      <c r="B74" s="51">
        <v>3.6</v>
      </c>
    </row>
    <row r="75" spans="1:2" ht="15.75" customHeight="1" x14ac:dyDescent="0.45">
      <c r="A75">
        <v>36.5</v>
      </c>
      <c r="B75" s="51">
        <v>3.6</v>
      </c>
    </row>
    <row r="76" spans="1:2" ht="15.75" customHeight="1" x14ac:dyDescent="0.45">
      <c r="A76">
        <v>37</v>
      </c>
      <c r="B76" s="51">
        <v>3.6</v>
      </c>
    </row>
    <row r="77" spans="1:2" ht="15.75" customHeight="1" x14ac:dyDescent="0.45">
      <c r="A77">
        <v>37.5</v>
      </c>
      <c r="B77" s="51">
        <v>3.7</v>
      </c>
    </row>
    <row r="78" spans="1:2" ht="15.75" customHeight="1" x14ac:dyDescent="0.45">
      <c r="A78">
        <v>38</v>
      </c>
      <c r="B78" s="51">
        <v>3.7</v>
      </c>
    </row>
    <row r="79" spans="1:2" ht="15.75" customHeight="1" x14ac:dyDescent="0.45">
      <c r="A79">
        <v>38.5</v>
      </c>
      <c r="B79" s="51">
        <v>3.8</v>
      </c>
    </row>
    <row r="80" spans="1:2" ht="15.75" customHeight="1" x14ac:dyDescent="0.45">
      <c r="A80">
        <v>39</v>
      </c>
      <c r="B80" s="51">
        <v>3.8</v>
      </c>
    </row>
    <row r="81" spans="1:2" ht="15.75" customHeight="1" x14ac:dyDescent="0.45">
      <c r="A81">
        <v>39.5</v>
      </c>
      <c r="B81" s="51">
        <v>3.8</v>
      </c>
    </row>
    <row r="82" spans="1:2" ht="15.75" customHeight="1" x14ac:dyDescent="0.45">
      <c r="A82">
        <v>40</v>
      </c>
      <c r="B82" s="51">
        <v>3.9</v>
      </c>
    </row>
    <row r="83" spans="1:2" ht="15.75" customHeight="1" x14ac:dyDescent="0.45">
      <c r="A83">
        <v>40.5</v>
      </c>
      <c r="B83" s="51">
        <v>3.9</v>
      </c>
    </row>
    <row r="84" spans="1:2" ht="15.75" customHeight="1" x14ac:dyDescent="0.45">
      <c r="A84">
        <v>41</v>
      </c>
      <c r="B84" s="51">
        <v>3.9</v>
      </c>
    </row>
    <row r="85" spans="1:2" ht="15.75" customHeight="1" x14ac:dyDescent="0.45">
      <c r="A85">
        <v>41.5</v>
      </c>
      <c r="B85" s="51">
        <v>4</v>
      </c>
    </row>
    <row r="86" spans="1:2" ht="15.75" customHeight="1" x14ac:dyDescent="0.45">
      <c r="A86">
        <v>42</v>
      </c>
      <c r="B86" s="51">
        <v>4</v>
      </c>
    </row>
    <row r="87" spans="1:2" ht="15.75" customHeight="1" x14ac:dyDescent="0.45">
      <c r="A87">
        <v>42.5</v>
      </c>
      <c r="B87" s="51">
        <v>4.0999999999999996</v>
      </c>
    </row>
    <row r="88" spans="1:2" ht="15.75" customHeight="1" x14ac:dyDescent="0.45">
      <c r="A88">
        <v>43</v>
      </c>
      <c r="B88" s="51">
        <v>4.0999999999999996</v>
      </c>
    </row>
    <row r="89" spans="1:2" ht="15.75" customHeight="1" x14ac:dyDescent="0.45">
      <c r="A89">
        <v>43.5</v>
      </c>
      <c r="B89" s="51">
        <v>4.2</v>
      </c>
    </row>
    <row r="90" spans="1:2" ht="15.75" customHeight="1" x14ac:dyDescent="0.45">
      <c r="A90">
        <v>44</v>
      </c>
      <c r="B90" s="51">
        <v>4.2</v>
      </c>
    </row>
    <row r="91" spans="1:2" ht="15.75" customHeight="1" x14ac:dyDescent="0.45">
      <c r="A91">
        <v>44.5</v>
      </c>
      <c r="B91" s="51">
        <v>4.3</v>
      </c>
    </row>
    <row r="92" spans="1:2" ht="15.75" customHeight="1" x14ac:dyDescent="0.45">
      <c r="A92">
        <v>45</v>
      </c>
      <c r="B92" s="51">
        <v>4.3</v>
      </c>
    </row>
    <row r="93" spans="1:2" ht="15.75" customHeight="1" x14ac:dyDescent="0.45">
      <c r="A93">
        <v>45.5</v>
      </c>
      <c r="B93" s="51">
        <v>4.4000000000000004</v>
      </c>
    </row>
    <row r="94" spans="1:2" ht="15.75" customHeight="1" x14ac:dyDescent="0.45">
      <c r="A94">
        <v>46</v>
      </c>
      <c r="B94" s="51">
        <v>4.4000000000000004</v>
      </c>
    </row>
    <row r="95" spans="1:2" ht="15.75" customHeight="1" x14ac:dyDescent="0.45">
      <c r="A95">
        <v>46.5</v>
      </c>
      <c r="B95" s="51">
        <v>4.5</v>
      </c>
    </row>
    <row r="96" spans="1:2" ht="15.75" customHeight="1" x14ac:dyDescent="0.45">
      <c r="A96">
        <v>47</v>
      </c>
      <c r="B96" s="51">
        <v>4.5</v>
      </c>
    </row>
    <row r="97" spans="1:2" ht="15.75" customHeight="1" x14ac:dyDescent="0.45">
      <c r="A97">
        <v>47.5</v>
      </c>
      <c r="B97" s="51">
        <v>4.5999999999999996</v>
      </c>
    </row>
    <row r="98" spans="1:2" ht="15.75" customHeight="1" x14ac:dyDescent="0.45">
      <c r="A98">
        <v>48</v>
      </c>
      <c r="B98" s="51">
        <v>4.5999999999999996</v>
      </c>
    </row>
    <row r="99" spans="1:2" ht="15.75" customHeight="1" x14ac:dyDescent="0.45">
      <c r="A99">
        <v>48.5</v>
      </c>
      <c r="B99" s="51">
        <v>4.7</v>
      </c>
    </row>
    <row r="100" spans="1:2" ht="15.75" customHeight="1" x14ac:dyDescent="0.45">
      <c r="A100">
        <v>49</v>
      </c>
      <c r="B100" s="51">
        <v>4.8</v>
      </c>
    </row>
    <row r="101" spans="1:2" ht="15.75" customHeight="1" x14ac:dyDescent="0.45">
      <c r="A101">
        <v>49.5</v>
      </c>
      <c r="B101" s="51">
        <v>4.8</v>
      </c>
    </row>
    <row r="102" spans="1:2" ht="15.75" customHeight="1" x14ac:dyDescent="0.45">
      <c r="A102">
        <v>50</v>
      </c>
      <c r="B102" s="51">
        <v>4.9000000000000004</v>
      </c>
    </row>
    <row r="103" spans="1:2" ht="15.75" customHeight="1" x14ac:dyDescent="0.45">
      <c r="A103">
        <v>50.5</v>
      </c>
      <c r="B103" s="51">
        <v>4.9000000000000004</v>
      </c>
    </row>
    <row r="104" spans="1:2" ht="15.75" customHeight="1" x14ac:dyDescent="0.45">
      <c r="A104">
        <v>51</v>
      </c>
      <c r="B104" s="51">
        <v>5</v>
      </c>
    </row>
    <row r="105" spans="1:2" ht="15.75" customHeight="1" x14ac:dyDescent="0.45">
      <c r="A105">
        <v>51.5</v>
      </c>
      <c r="B105" s="51">
        <v>5</v>
      </c>
    </row>
    <row r="106" spans="1:2" ht="15.75" customHeight="1" x14ac:dyDescent="0.45">
      <c r="A106">
        <v>52</v>
      </c>
      <c r="B106" s="51">
        <v>5.0999999999999996</v>
      </c>
    </row>
    <row r="107" spans="1:2" ht="15.75" customHeight="1" x14ac:dyDescent="0.45">
      <c r="A107">
        <v>52.5</v>
      </c>
      <c r="B107" s="51">
        <v>5.0999999999999996</v>
      </c>
    </row>
    <row r="108" spans="1:2" ht="15.75" customHeight="1" x14ac:dyDescent="0.45">
      <c r="A108">
        <v>53</v>
      </c>
      <c r="B108" s="51">
        <v>5.2</v>
      </c>
    </row>
    <row r="109" spans="1:2" ht="15.75" customHeight="1" x14ac:dyDescent="0.45">
      <c r="A109">
        <v>53.5</v>
      </c>
      <c r="B109" s="51">
        <v>5.2</v>
      </c>
    </row>
    <row r="110" spans="1:2" ht="15.75" customHeight="1" x14ac:dyDescent="0.45">
      <c r="A110">
        <v>54</v>
      </c>
      <c r="B110" s="51">
        <v>5.3</v>
      </c>
    </row>
    <row r="111" spans="1:2" ht="15.75" customHeight="1" x14ac:dyDescent="0.45">
      <c r="A111">
        <v>54.5</v>
      </c>
      <c r="B111" s="51">
        <v>5.3</v>
      </c>
    </row>
    <row r="112" spans="1:2" ht="15.75" customHeight="1" x14ac:dyDescent="0.45">
      <c r="A112">
        <v>55</v>
      </c>
      <c r="B112" s="51">
        <v>5.4</v>
      </c>
    </row>
    <row r="113" spans="1:2" ht="15.75" customHeight="1" x14ac:dyDescent="0.45">
      <c r="A113">
        <v>55.5</v>
      </c>
      <c r="B113" s="51">
        <v>5.4</v>
      </c>
    </row>
    <row r="114" spans="1:2" ht="15.75" customHeight="1" x14ac:dyDescent="0.45">
      <c r="A114">
        <v>56</v>
      </c>
      <c r="B114" s="51">
        <v>5.5</v>
      </c>
    </row>
    <row r="115" spans="1:2" ht="15.75" customHeight="1" x14ac:dyDescent="0.45">
      <c r="A115">
        <v>56.5</v>
      </c>
      <c r="B115" s="51">
        <v>5.6</v>
      </c>
    </row>
    <row r="116" spans="1:2" ht="15.75" customHeight="1" x14ac:dyDescent="0.45">
      <c r="A116">
        <v>57</v>
      </c>
      <c r="B116" s="51">
        <v>5.6</v>
      </c>
    </row>
    <row r="117" spans="1:2" ht="15.75" customHeight="1" x14ac:dyDescent="0.45">
      <c r="A117">
        <v>57.5</v>
      </c>
      <c r="B117" s="51">
        <v>5.7</v>
      </c>
    </row>
    <row r="118" spans="1:2" ht="15.75" customHeight="1" x14ac:dyDescent="0.45">
      <c r="A118">
        <v>58</v>
      </c>
      <c r="B118" s="51">
        <v>5.7</v>
      </c>
    </row>
    <row r="119" spans="1:2" ht="15.75" customHeight="1" x14ac:dyDescent="0.45">
      <c r="A119">
        <v>58.5</v>
      </c>
      <c r="B119" s="51">
        <v>5.8</v>
      </c>
    </row>
    <row r="120" spans="1:2" ht="15.75" customHeight="1" x14ac:dyDescent="0.45">
      <c r="A120">
        <v>59</v>
      </c>
      <c r="B120" s="51">
        <v>5.8</v>
      </c>
    </row>
    <row r="121" spans="1:2" ht="15.75" customHeight="1" x14ac:dyDescent="0.45">
      <c r="A121">
        <v>59.5</v>
      </c>
      <c r="B121" s="51">
        <v>5.9</v>
      </c>
    </row>
    <row r="122" spans="1:2" ht="15.75" customHeight="1" x14ac:dyDescent="0.45">
      <c r="A122">
        <v>60</v>
      </c>
      <c r="B122" s="51">
        <v>5.9</v>
      </c>
    </row>
    <row r="123" spans="1:2" ht="15.75" customHeight="1" x14ac:dyDescent="0.45">
      <c r="A123">
        <v>60.5</v>
      </c>
      <c r="B123" s="51">
        <v>6</v>
      </c>
    </row>
    <row r="124" spans="1:2" ht="15.75" customHeight="1" x14ac:dyDescent="0.45">
      <c r="A124">
        <v>61</v>
      </c>
      <c r="B124" s="51">
        <v>6</v>
      </c>
    </row>
    <row r="125" spans="1:2" ht="15.75" customHeight="1" x14ac:dyDescent="0.45">
      <c r="A125">
        <v>61.5</v>
      </c>
      <c r="B125" s="51">
        <v>6.1</v>
      </c>
    </row>
    <row r="126" spans="1:2" ht="15.75" customHeight="1" x14ac:dyDescent="0.45">
      <c r="A126">
        <v>62</v>
      </c>
      <c r="B126" s="51">
        <v>6.1</v>
      </c>
    </row>
    <row r="127" spans="1:2" ht="15.75" customHeight="1" x14ac:dyDescent="0.45">
      <c r="A127">
        <v>62.5</v>
      </c>
      <c r="B127" s="51">
        <v>6.2</v>
      </c>
    </row>
    <row r="128" spans="1:2" ht="15.75" customHeight="1" x14ac:dyDescent="0.45">
      <c r="A128">
        <v>63</v>
      </c>
      <c r="B128" s="51">
        <v>6.3</v>
      </c>
    </row>
    <row r="129" spans="1:2" ht="15.75" customHeight="1" x14ac:dyDescent="0.45">
      <c r="A129">
        <v>63.5</v>
      </c>
      <c r="B129" s="51">
        <v>6.3</v>
      </c>
    </row>
    <row r="130" spans="1:2" ht="15.75" customHeight="1" x14ac:dyDescent="0.45">
      <c r="A130">
        <v>64</v>
      </c>
      <c r="B130" s="51">
        <v>6.4</v>
      </c>
    </row>
    <row r="131" spans="1:2" ht="15.75" customHeight="1" x14ac:dyDescent="0.45">
      <c r="A131">
        <v>64.5</v>
      </c>
      <c r="B131" s="51">
        <v>6.4</v>
      </c>
    </row>
    <row r="132" spans="1:2" ht="15.75" customHeight="1" x14ac:dyDescent="0.45">
      <c r="A132">
        <v>65</v>
      </c>
      <c r="B132" s="51">
        <v>6.5</v>
      </c>
    </row>
    <row r="133" spans="1:2" ht="15.75" customHeight="1" x14ac:dyDescent="0.45">
      <c r="A133">
        <v>65.5</v>
      </c>
      <c r="B133" s="51">
        <v>6.5</v>
      </c>
    </row>
    <row r="134" spans="1:2" ht="15.75" customHeight="1" x14ac:dyDescent="0.45">
      <c r="A134">
        <v>66</v>
      </c>
      <c r="B134" s="51">
        <v>6.6</v>
      </c>
    </row>
    <row r="135" spans="1:2" ht="15.75" customHeight="1" x14ac:dyDescent="0.45">
      <c r="A135">
        <v>66.5</v>
      </c>
      <c r="B135" s="51">
        <v>6.6</v>
      </c>
    </row>
    <row r="136" spans="1:2" ht="15.75" customHeight="1" x14ac:dyDescent="0.45">
      <c r="A136">
        <v>67</v>
      </c>
      <c r="B136" s="51">
        <v>6.7</v>
      </c>
    </row>
    <row r="137" spans="1:2" ht="15.75" customHeight="1" x14ac:dyDescent="0.45">
      <c r="A137">
        <v>67.5</v>
      </c>
      <c r="B137" s="51">
        <v>6.7</v>
      </c>
    </row>
    <row r="138" spans="1:2" ht="15.75" customHeight="1" x14ac:dyDescent="0.45">
      <c r="A138">
        <v>68</v>
      </c>
      <c r="B138" s="51">
        <v>6.8</v>
      </c>
    </row>
    <row r="139" spans="1:2" ht="15.75" customHeight="1" x14ac:dyDescent="0.45">
      <c r="A139">
        <v>68.5</v>
      </c>
      <c r="B139" s="51">
        <v>6.8</v>
      </c>
    </row>
    <row r="140" spans="1:2" ht="15.75" customHeight="1" x14ac:dyDescent="0.45">
      <c r="A140">
        <v>69</v>
      </c>
      <c r="B140" s="51">
        <v>6.9</v>
      </c>
    </row>
    <row r="141" spans="1:2" ht="15.75" customHeight="1" x14ac:dyDescent="0.45">
      <c r="A141">
        <v>69.5</v>
      </c>
      <c r="B141" s="51">
        <v>6.9</v>
      </c>
    </row>
    <row r="142" spans="1:2" ht="15.75" customHeight="1" x14ac:dyDescent="0.45">
      <c r="A142">
        <v>70</v>
      </c>
      <c r="B142" s="51">
        <v>7</v>
      </c>
    </row>
    <row r="143" spans="1:2" ht="15.75" customHeight="1" x14ac:dyDescent="0.45"/>
    <row r="144" spans="1:2"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6484375" defaultRowHeight="15" customHeight="1" x14ac:dyDescent="0.45"/>
  <cols>
    <col min="1" max="26" width="10.6640625" customWidth="1"/>
  </cols>
  <sheetData>
    <row r="1" spans="1:2" ht="14.25" x14ac:dyDescent="0.45">
      <c r="A1" t="s">
        <v>0</v>
      </c>
      <c r="B1" t="s">
        <v>1</v>
      </c>
    </row>
    <row r="2" spans="1:2" ht="14.25" x14ac:dyDescent="0.45">
      <c r="A2">
        <v>0</v>
      </c>
      <c r="B2" s="1">
        <v>1</v>
      </c>
    </row>
    <row r="3" spans="1:2" ht="14.25" x14ac:dyDescent="0.45">
      <c r="A3">
        <v>1</v>
      </c>
      <c r="B3" s="1">
        <v>1.1000000000000001</v>
      </c>
    </row>
    <row r="4" spans="1:2" ht="14.25" x14ac:dyDescent="0.45">
      <c r="A4">
        <v>2</v>
      </c>
      <c r="B4" s="1">
        <v>1.2</v>
      </c>
    </row>
    <row r="5" spans="1:2" ht="14.25" x14ac:dyDescent="0.45">
      <c r="A5">
        <v>3</v>
      </c>
      <c r="B5" s="1">
        <v>1.3</v>
      </c>
    </row>
    <row r="6" spans="1:2" ht="14.25" x14ac:dyDescent="0.45">
      <c r="A6">
        <v>4</v>
      </c>
      <c r="B6" s="1">
        <v>1.4</v>
      </c>
    </row>
    <row r="7" spans="1:2" ht="14.25" x14ac:dyDescent="0.45">
      <c r="A7">
        <v>5</v>
      </c>
      <c r="B7" s="1">
        <v>1.5</v>
      </c>
    </row>
    <row r="8" spans="1:2" ht="14.25" x14ac:dyDescent="0.45">
      <c r="A8">
        <v>6</v>
      </c>
      <c r="B8" s="1">
        <v>1.6</v>
      </c>
    </row>
    <row r="9" spans="1:2" ht="14.25" x14ac:dyDescent="0.45">
      <c r="A9">
        <v>7</v>
      </c>
      <c r="B9" s="1">
        <v>1.7</v>
      </c>
    </row>
    <row r="10" spans="1:2" ht="14.25" x14ac:dyDescent="0.45">
      <c r="A10">
        <v>8</v>
      </c>
      <c r="B10" s="1">
        <v>1.8</v>
      </c>
    </row>
    <row r="11" spans="1:2" ht="14.25" x14ac:dyDescent="0.45">
      <c r="A11">
        <v>9</v>
      </c>
      <c r="B11" s="1">
        <v>1.9</v>
      </c>
    </row>
    <row r="12" spans="1:2" ht="14.25" x14ac:dyDescent="0.45">
      <c r="A12">
        <v>10</v>
      </c>
      <c r="B12" s="1">
        <v>2</v>
      </c>
    </row>
    <row r="13" spans="1:2" ht="14.25" x14ac:dyDescent="0.45">
      <c r="A13">
        <v>11</v>
      </c>
      <c r="B13" s="1">
        <v>2.1</v>
      </c>
    </row>
    <row r="14" spans="1:2" ht="14.25" x14ac:dyDescent="0.45">
      <c r="A14">
        <v>12</v>
      </c>
      <c r="B14" s="1">
        <v>2.2000000000000002</v>
      </c>
    </row>
    <row r="15" spans="1:2" ht="14.25" x14ac:dyDescent="0.45">
      <c r="A15">
        <v>13</v>
      </c>
      <c r="B15" s="1">
        <v>2.2999999999999998</v>
      </c>
    </row>
    <row r="16" spans="1:2" ht="14.25" x14ac:dyDescent="0.45">
      <c r="A16">
        <v>14</v>
      </c>
      <c r="B16" s="1">
        <v>2.2999999999999998</v>
      </c>
    </row>
    <row r="17" spans="1:2" ht="14.25" x14ac:dyDescent="0.45">
      <c r="A17">
        <v>15</v>
      </c>
      <c r="B17" s="1">
        <v>2.4</v>
      </c>
    </row>
    <row r="18" spans="1:2" ht="14.25" x14ac:dyDescent="0.45">
      <c r="A18">
        <v>16</v>
      </c>
      <c r="B18" s="1">
        <v>2.5</v>
      </c>
    </row>
    <row r="19" spans="1:2" ht="14.25" x14ac:dyDescent="0.45">
      <c r="A19">
        <v>17</v>
      </c>
      <c r="B19" s="1">
        <v>2.6</v>
      </c>
    </row>
    <row r="20" spans="1:2" ht="14.25" x14ac:dyDescent="0.45">
      <c r="A20">
        <v>18</v>
      </c>
      <c r="B20" s="1">
        <v>2.7</v>
      </c>
    </row>
    <row r="21" spans="1:2" ht="15.75" customHeight="1" x14ac:dyDescent="0.45">
      <c r="A21">
        <v>19</v>
      </c>
      <c r="B21" s="1">
        <v>2.8</v>
      </c>
    </row>
    <row r="22" spans="1:2" ht="15.75" customHeight="1" x14ac:dyDescent="0.45">
      <c r="A22">
        <v>20</v>
      </c>
      <c r="B22" s="1">
        <v>2.9</v>
      </c>
    </row>
    <row r="23" spans="1:2" ht="15.75" customHeight="1" x14ac:dyDescent="0.45">
      <c r="A23">
        <v>21</v>
      </c>
      <c r="B23" s="1">
        <v>3</v>
      </c>
    </row>
    <row r="24" spans="1:2" ht="15.75" customHeight="1" x14ac:dyDescent="0.45">
      <c r="A24">
        <v>22</v>
      </c>
      <c r="B24" s="1">
        <v>3.1</v>
      </c>
    </row>
    <row r="25" spans="1:2" ht="15.75" customHeight="1" x14ac:dyDescent="0.45">
      <c r="A25">
        <v>23</v>
      </c>
      <c r="B25" s="1">
        <v>3.2</v>
      </c>
    </row>
    <row r="26" spans="1:2" ht="15.75" customHeight="1" x14ac:dyDescent="0.45">
      <c r="A26">
        <v>24</v>
      </c>
      <c r="B26" s="1">
        <v>3.3</v>
      </c>
    </row>
    <row r="27" spans="1:2" ht="15.75" customHeight="1" x14ac:dyDescent="0.45">
      <c r="A27">
        <v>25</v>
      </c>
      <c r="B27" s="1">
        <v>3.4</v>
      </c>
    </row>
    <row r="28" spans="1:2" ht="15.75" customHeight="1" x14ac:dyDescent="0.45">
      <c r="A28">
        <v>26</v>
      </c>
      <c r="B28" s="1">
        <v>3.5</v>
      </c>
    </row>
    <row r="29" spans="1:2" ht="15.75" customHeight="1" x14ac:dyDescent="0.45">
      <c r="A29">
        <v>27</v>
      </c>
      <c r="B29" s="1">
        <v>3.6</v>
      </c>
    </row>
    <row r="30" spans="1:2" ht="15.75" customHeight="1" x14ac:dyDescent="0.45">
      <c r="A30">
        <v>28</v>
      </c>
      <c r="B30" s="1">
        <v>3.7</v>
      </c>
    </row>
    <row r="31" spans="1:2" ht="15.75" customHeight="1" x14ac:dyDescent="0.45">
      <c r="A31">
        <v>29</v>
      </c>
      <c r="B31" s="1">
        <v>3.8</v>
      </c>
    </row>
    <row r="32" spans="1:2" ht="15.75" customHeight="1" x14ac:dyDescent="0.45">
      <c r="A32">
        <v>30</v>
      </c>
      <c r="B32" s="1">
        <v>3.9</v>
      </c>
    </row>
    <row r="33" spans="1:2" ht="15.75" customHeight="1" x14ac:dyDescent="0.45">
      <c r="A33">
        <v>31</v>
      </c>
      <c r="B33" s="1">
        <v>4</v>
      </c>
    </row>
    <row r="34" spans="1:2" ht="15.75" customHeight="1" x14ac:dyDescent="0.45">
      <c r="A34">
        <v>32</v>
      </c>
      <c r="B34" s="1">
        <v>4.0999999999999996</v>
      </c>
    </row>
    <row r="35" spans="1:2" ht="15.75" customHeight="1" x14ac:dyDescent="0.45">
      <c r="A35">
        <v>33</v>
      </c>
      <c r="B35" s="1">
        <v>4.3</v>
      </c>
    </row>
    <row r="36" spans="1:2" ht="15.75" customHeight="1" x14ac:dyDescent="0.45">
      <c r="A36">
        <v>34</v>
      </c>
      <c r="B36" s="1">
        <v>4.4000000000000004</v>
      </c>
    </row>
    <row r="37" spans="1:2" ht="15.75" customHeight="1" x14ac:dyDescent="0.45">
      <c r="A37">
        <v>35</v>
      </c>
      <c r="B37" s="1">
        <v>4.5</v>
      </c>
    </row>
    <row r="38" spans="1:2" ht="15.75" customHeight="1" x14ac:dyDescent="0.45">
      <c r="A38">
        <v>36</v>
      </c>
      <c r="B38" s="1">
        <v>4.7</v>
      </c>
    </row>
    <row r="39" spans="1:2" ht="15.75" customHeight="1" x14ac:dyDescent="0.45">
      <c r="A39">
        <v>37</v>
      </c>
      <c r="B39" s="1">
        <v>4.8</v>
      </c>
    </row>
    <row r="40" spans="1:2" ht="15.75" customHeight="1" x14ac:dyDescent="0.45">
      <c r="A40">
        <v>38</v>
      </c>
      <c r="B40" s="1">
        <v>5</v>
      </c>
    </row>
    <row r="41" spans="1:2" ht="15.75" customHeight="1" x14ac:dyDescent="0.45">
      <c r="A41">
        <v>39</v>
      </c>
      <c r="B41" s="1">
        <v>5.0999999999999996</v>
      </c>
    </row>
    <row r="42" spans="1:2" ht="15.75" customHeight="1" x14ac:dyDescent="0.45">
      <c r="A42">
        <v>40</v>
      </c>
      <c r="B42" s="1">
        <v>5.3</v>
      </c>
    </row>
    <row r="43" spans="1:2" ht="15.75" customHeight="1" x14ac:dyDescent="0.45">
      <c r="A43">
        <v>41</v>
      </c>
      <c r="B43" s="1">
        <v>5.4</v>
      </c>
    </row>
    <row r="44" spans="1:2" ht="15.75" customHeight="1" x14ac:dyDescent="0.45">
      <c r="A44">
        <v>42</v>
      </c>
      <c r="B44" s="1">
        <v>5.6</v>
      </c>
    </row>
    <row r="45" spans="1:2" ht="15.75" customHeight="1" x14ac:dyDescent="0.45">
      <c r="A45">
        <v>43</v>
      </c>
      <c r="B45" s="1">
        <v>5.7</v>
      </c>
    </row>
    <row r="46" spans="1:2" ht="15.75" customHeight="1" x14ac:dyDescent="0.45">
      <c r="A46">
        <v>44</v>
      </c>
      <c r="B46" s="1">
        <v>5.8</v>
      </c>
    </row>
    <row r="47" spans="1:2" ht="15.75" customHeight="1" x14ac:dyDescent="0.45">
      <c r="A47">
        <v>45</v>
      </c>
      <c r="B47" s="1">
        <v>6</v>
      </c>
    </row>
    <row r="48" spans="1:2" ht="15.75" customHeight="1" x14ac:dyDescent="0.45">
      <c r="A48">
        <v>46</v>
      </c>
      <c r="B48" s="1">
        <v>6.1</v>
      </c>
    </row>
    <row r="49" spans="1:2" ht="15.75" customHeight="1" x14ac:dyDescent="0.45">
      <c r="A49">
        <v>47</v>
      </c>
      <c r="B49" s="1">
        <v>6.3</v>
      </c>
    </row>
    <row r="50" spans="1:2" ht="15.75" customHeight="1" x14ac:dyDescent="0.45">
      <c r="A50">
        <v>48</v>
      </c>
      <c r="B50" s="1">
        <v>6.4</v>
      </c>
    </row>
    <row r="51" spans="1:2" ht="15.75" customHeight="1" x14ac:dyDescent="0.45">
      <c r="A51">
        <v>49</v>
      </c>
      <c r="B51" s="1">
        <v>6.6</v>
      </c>
    </row>
    <row r="52" spans="1:2" ht="15.75" customHeight="1" x14ac:dyDescent="0.45">
      <c r="A52">
        <v>50</v>
      </c>
      <c r="B52" s="1">
        <v>6.7</v>
      </c>
    </row>
    <row r="53" spans="1:2" ht="15.75" customHeight="1" x14ac:dyDescent="0.45">
      <c r="A53">
        <v>51</v>
      </c>
      <c r="B53" s="1">
        <v>6.9</v>
      </c>
    </row>
    <row r="54" spans="1:2" ht="15.75" customHeight="1" x14ac:dyDescent="0.45">
      <c r="A54">
        <v>52</v>
      </c>
      <c r="B54" s="1">
        <v>7</v>
      </c>
    </row>
    <row r="55" spans="1:2" ht="15.75" customHeight="1" x14ac:dyDescent="0.45"/>
    <row r="56" spans="1:2" ht="15.75" customHeight="1" x14ac:dyDescent="0.45"/>
    <row r="57" spans="1:2" ht="15.75" customHeight="1" x14ac:dyDescent="0.45"/>
    <row r="58" spans="1:2" ht="15.75" customHeight="1" x14ac:dyDescent="0.45"/>
    <row r="59" spans="1:2" ht="15.75" customHeight="1" x14ac:dyDescent="0.45"/>
    <row r="60" spans="1:2" ht="15.75" customHeight="1" x14ac:dyDescent="0.45"/>
    <row r="61" spans="1:2" ht="15.75" customHeight="1" x14ac:dyDescent="0.45"/>
    <row r="62" spans="1:2" ht="15.75" customHeight="1" x14ac:dyDescent="0.45"/>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6484375" defaultRowHeight="15" customHeight="1" x14ac:dyDescent="0.45"/>
  <cols>
    <col min="1" max="22" width="10.6640625" customWidth="1"/>
  </cols>
  <sheetData>
    <row r="1" spans="1:2" ht="14.25" x14ac:dyDescent="0.45">
      <c r="A1" t="s">
        <v>6</v>
      </c>
      <c r="B1" t="s">
        <v>16</v>
      </c>
    </row>
    <row r="2" spans="1:2" ht="14.25" x14ac:dyDescent="0.45">
      <c r="A2">
        <v>0</v>
      </c>
      <c r="B2" s="51">
        <v>1</v>
      </c>
    </row>
    <row r="3" spans="1:2" ht="14.25" x14ac:dyDescent="0.45">
      <c r="A3">
        <v>0.5</v>
      </c>
      <c r="B3" s="51">
        <v>1.1000000000000001</v>
      </c>
    </row>
    <row r="4" spans="1:2" ht="14.25" x14ac:dyDescent="0.45">
      <c r="A4">
        <v>1</v>
      </c>
      <c r="B4" s="51">
        <v>1.2</v>
      </c>
    </row>
    <row r="5" spans="1:2" ht="14.25" x14ac:dyDescent="0.45">
      <c r="A5">
        <v>1.5</v>
      </c>
      <c r="B5" s="51">
        <v>1.3</v>
      </c>
    </row>
    <row r="6" spans="1:2" ht="14.25" x14ac:dyDescent="0.45">
      <c r="A6">
        <v>2</v>
      </c>
      <c r="B6" s="51">
        <v>1.3</v>
      </c>
    </row>
    <row r="7" spans="1:2" ht="14.25" x14ac:dyDescent="0.45">
      <c r="A7">
        <v>2.5</v>
      </c>
      <c r="B7" s="51">
        <v>1.4</v>
      </c>
    </row>
    <row r="8" spans="1:2" ht="14.25" x14ac:dyDescent="0.45">
      <c r="A8">
        <v>3</v>
      </c>
      <c r="B8" s="51">
        <v>1.5</v>
      </c>
    </row>
    <row r="9" spans="1:2" ht="14.25" x14ac:dyDescent="0.45">
      <c r="A9">
        <v>3.5</v>
      </c>
      <c r="B9" s="51">
        <v>1.6</v>
      </c>
    </row>
    <row r="10" spans="1:2" ht="14.25" x14ac:dyDescent="0.45">
      <c r="A10">
        <v>4</v>
      </c>
      <c r="B10" s="51">
        <v>1.7</v>
      </c>
    </row>
    <row r="11" spans="1:2" ht="14.25" x14ac:dyDescent="0.45">
      <c r="A11">
        <v>4.5</v>
      </c>
      <c r="B11" s="51">
        <v>1.8</v>
      </c>
    </row>
    <row r="12" spans="1:2" ht="14.25" x14ac:dyDescent="0.45">
      <c r="A12">
        <v>5</v>
      </c>
      <c r="B12" s="51">
        <v>1.8</v>
      </c>
    </row>
    <row r="13" spans="1:2" ht="14.25" x14ac:dyDescent="0.45">
      <c r="A13">
        <v>5.5</v>
      </c>
      <c r="B13" s="51">
        <v>1.9</v>
      </c>
    </row>
    <row r="14" spans="1:2" ht="14.25" x14ac:dyDescent="0.45">
      <c r="A14">
        <v>6</v>
      </c>
      <c r="B14" s="51">
        <v>2</v>
      </c>
    </row>
    <row r="15" spans="1:2" ht="14.25" x14ac:dyDescent="0.45">
      <c r="A15">
        <v>6.5</v>
      </c>
      <c r="B15" s="51">
        <v>2.1</v>
      </c>
    </row>
    <row r="16" spans="1:2" ht="14.25" x14ac:dyDescent="0.45">
      <c r="A16">
        <v>7</v>
      </c>
      <c r="B16" s="51">
        <v>2.2000000000000002</v>
      </c>
    </row>
    <row r="17" spans="1:2" ht="14.25" x14ac:dyDescent="0.45">
      <c r="A17">
        <v>7.5</v>
      </c>
      <c r="B17" s="51">
        <v>2.2999999999999998</v>
      </c>
    </row>
    <row r="18" spans="1:2" ht="14.25" x14ac:dyDescent="0.45">
      <c r="A18">
        <v>8</v>
      </c>
      <c r="B18" s="51">
        <v>2.2999999999999998</v>
      </c>
    </row>
    <row r="19" spans="1:2" ht="14.25" x14ac:dyDescent="0.45">
      <c r="A19">
        <v>8.5</v>
      </c>
      <c r="B19" s="51">
        <v>2.4</v>
      </c>
    </row>
    <row r="20" spans="1:2" ht="14.25" x14ac:dyDescent="0.45">
      <c r="A20">
        <v>9</v>
      </c>
      <c r="B20" s="51">
        <v>2.5</v>
      </c>
    </row>
    <row r="21" spans="1:2" ht="15.75" customHeight="1" x14ac:dyDescent="0.45">
      <c r="A21">
        <v>9.5</v>
      </c>
      <c r="B21" s="51">
        <v>2.6</v>
      </c>
    </row>
    <row r="22" spans="1:2" ht="15.75" customHeight="1" x14ac:dyDescent="0.45">
      <c r="A22">
        <v>10</v>
      </c>
      <c r="B22" s="51">
        <v>2.7</v>
      </c>
    </row>
    <row r="23" spans="1:2" ht="15.75" customHeight="1" x14ac:dyDescent="0.45">
      <c r="A23">
        <v>10.5</v>
      </c>
      <c r="B23" s="51">
        <v>2.8</v>
      </c>
    </row>
    <row r="24" spans="1:2" ht="15.75" customHeight="1" x14ac:dyDescent="0.45">
      <c r="A24">
        <v>11</v>
      </c>
      <c r="B24" s="51">
        <v>2.8</v>
      </c>
    </row>
    <row r="25" spans="1:2" ht="15.75" customHeight="1" x14ac:dyDescent="0.45">
      <c r="A25">
        <v>11.5</v>
      </c>
      <c r="B25" s="51">
        <v>2.9</v>
      </c>
    </row>
    <row r="26" spans="1:2" ht="15.75" customHeight="1" x14ac:dyDescent="0.45">
      <c r="A26">
        <v>12</v>
      </c>
      <c r="B26" s="51">
        <v>3</v>
      </c>
    </row>
    <row r="27" spans="1:2" ht="15.75" customHeight="1" x14ac:dyDescent="0.45">
      <c r="A27">
        <v>12.5</v>
      </c>
      <c r="B27" s="51">
        <v>3.1</v>
      </c>
    </row>
    <row r="28" spans="1:2" ht="15.75" customHeight="1" x14ac:dyDescent="0.45">
      <c r="A28">
        <v>13</v>
      </c>
      <c r="B28" s="51">
        <v>3.2</v>
      </c>
    </row>
    <row r="29" spans="1:2" ht="15.75" customHeight="1" x14ac:dyDescent="0.45">
      <c r="A29">
        <v>13.5</v>
      </c>
      <c r="B29" s="51">
        <v>3.3</v>
      </c>
    </row>
    <row r="30" spans="1:2" ht="15.75" customHeight="1" x14ac:dyDescent="0.45">
      <c r="A30">
        <v>14</v>
      </c>
      <c r="B30" s="51">
        <v>3.3</v>
      </c>
    </row>
    <row r="31" spans="1:2" ht="15.75" customHeight="1" x14ac:dyDescent="0.45">
      <c r="A31">
        <v>14.5</v>
      </c>
      <c r="B31" s="51">
        <v>3.4</v>
      </c>
    </row>
    <row r="32" spans="1:2" ht="15.75" customHeight="1" x14ac:dyDescent="0.45">
      <c r="A32">
        <v>15</v>
      </c>
      <c r="B32" s="51">
        <v>3.5</v>
      </c>
    </row>
    <row r="33" spans="1:2" ht="15.75" customHeight="1" x14ac:dyDescent="0.45">
      <c r="A33">
        <v>15.5</v>
      </c>
      <c r="B33" s="51">
        <v>3.6</v>
      </c>
    </row>
    <row r="34" spans="1:2" ht="15.75" customHeight="1" x14ac:dyDescent="0.45">
      <c r="A34">
        <v>16</v>
      </c>
      <c r="B34" s="51">
        <v>3.7</v>
      </c>
    </row>
    <row r="35" spans="1:2" ht="15.75" customHeight="1" x14ac:dyDescent="0.45">
      <c r="A35">
        <v>16.5</v>
      </c>
      <c r="B35" s="51">
        <v>3.8</v>
      </c>
    </row>
    <row r="36" spans="1:2" ht="15.75" customHeight="1" x14ac:dyDescent="0.45">
      <c r="A36">
        <v>17</v>
      </c>
      <c r="B36" s="51">
        <v>3.8</v>
      </c>
    </row>
    <row r="37" spans="1:2" ht="15.75" customHeight="1" x14ac:dyDescent="0.45">
      <c r="A37">
        <v>17.5</v>
      </c>
      <c r="B37" s="51">
        <v>3.9</v>
      </c>
    </row>
    <row r="38" spans="1:2" ht="15.75" customHeight="1" x14ac:dyDescent="0.45">
      <c r="A38">
        <v>18</v>
      </c>
      <c r="B38" s="51">
        <v>4</v>
      </c>
    </row>
    <row r="39" spans="1:2" ht="15.75" customHeight="1" x14ac:dyDescent="0.45">
      <c r="A39">
        <v>18.5</v>
      </c>
      <c r="B39" s="51">
        <v>4.0999999999999996</v>
      </c>
    </row>
    <row r="40" spans="1:2" ht="15.75" customHeight="1" x14ac:dyDescent="0.45">
      <c r="A40">
        <v>19</v>
      </c>
      <c r="B40" s="51">
        <v>4.3</v>
      </c>
    </row>
    <row r="41" spans="1:2" ht="15.75" customHeight="1" x14ac:dyDescent="0.45">
      <c r="A41">
        <v>19.5</v>
      </c>
      <c r="B41" s="51">
        <v>4.4000000000000004</v>
      </c>
    </row>
    <row r="42" spans="1:2" ht="15.75" customHeight="1" x14ac:dyDescent="0.45">
      <c r="A42">
        <v>20</v>
      </c>
      <c r="B42" s="51">
        <v>4.5</v>
      </c>
    </row>
    <row r="43" spans="1:2" ht="15.75" customHeight="1" x14ac:dyDescent="0.45">
      <c r="A43">
        <v>20.5</v>
      </c>
      <c r="B43" s="51">
        <v>4.5999999999999996</v>
      </c>
    </row>
    <row r="44" spans="1:2" ht="15.75" customHeight="1" x14ac:dyDescent="0.45">
      <c r="A44">
        <v>21</v>
      </c>
      <c r="B44" s="51">
        <v>4.8</v>
      </c>
    </row>
    <row r="45" spans="1:2" ht="15.75" customHeight="1" x14ac:dyDescent="0.45">
      <c r="A45">
        <v>21.5</v>
      </c>
      <c r="B45" s="51">
        <v>4.9000000000000004</v>
      </c>
    </row>
    <row r="46" spans="1:2" ht="15.75" customHeight="1" x14ac:dyDescent="0.45">
      <c r="A46">
        <v>22</v>
      </c>
      <c r="B46" s="51">
        <v>5</v>
      </c>
    </row>
    <row r="47" spans="1:2" ht="15.75" customHeight="1" x14ac:dyDescent="0.45">
      <c r="A47">
        <v>22.5</v>
      </c>
      <c r="B47" s="51">
        <v>5.0999999999999996</v>
      </c>
    </row>
    <row r="48" spans="1:2" ht="15.75" customHeight="1" x14ac:dyDescent="0.45">
      <c r="A48">
        <v>23</v>
      </c>
      <c r="B48" s="51">
        <v>5.3</v>
      </c>
    </row>
    <row r="49" spans="1:2" ht="15.75" customHeight="1" x14ac:dyDescent="0.45">
      <c r="A49">
        <v>23.5</v>
      </c>
      <c r="B49" s="51">
        <v>5.4</v>
      </c>
    </row>
    <row r="50" spans="1:2" ht="15.75" customHeight="1" x14ac:dyDescent="0.45">
      <c r="A50">
        <v>24</v>
      </c>
      <c r="B50" s="51">
        <v>5.5</v>
      </c>
    </row>
    <row r="51" spans="1:2" ht="15.75" customHeight="1" x14ac:dyDescent="0.45">
      <c r="A51">
        <v>24.5</v>
      </c>
      <c r="B51" s="51">
        <v>5.6</v>
      </c>
    </row>
    <row r="52" spans="1:2" ht="15.75" customHeight="1" x14ac:dyDescent="0.45">
      <c r="A52">
        <v>25</v>
      </c>
      <c r="B52" s="51">
        <v>5.8</v>
      </c>
    </row>
    <row r="53" spans="1:2" ht="15.75" customHeight="1" x14ac:dyDescent="0.45">
      <c r="A53">
        <v>25.5</v>
      </c>
      <c r="B53" s="51">
        <v>5.9</v>
      </c>
    </row>
    <row r="54" spans="1:2" ht="15.75" customHeight="1" x14ac:dyDescent="0.45">
      <c r="A54">
        <v>26</v>
      </c>
      <c r="B54" s="51">
        <v>6</v>
      </c>
    </row>
    <row r="55" spans="1:2" ht="15.75" customHeight="1" x14ac:dyDescent="0.45">
      <c r="A55">
        <v>26.5</v>
      </c>
      <c r="B55" s="51">
        <v>6.1</v>
      </c>
    </row>
    <row r="56" spans="1:2" ht="15.75" customHeight="1" x14ac:dyDescent="0.45">
      <c r="A56">
        <v>27</v>
      </c>
      <c r="B56" s="51">
        <v>6.3</v>
      </c>
    </row>
    <row r="57" spans="1:2" ht="15.75" customHeight="1" x14ac:dyDescent="0.45">
      <c r="A57">
        <v>27.5</v>
      </c>
      <c r="B57" s="51">
        <v>6.4</v>
      </c>
    </row>
    <row r="58" spans="1:2" ht="15.75" customHeight="1" x14ac:dyDescent="0.45">
      <c r="A58">
        <v>28</v>
      </c>
      <c r="B58" s="51">
        <v>6.5</v>
      </c>
    </row>
    <row r="59" spans="1:2" ht="15.75" customHeight="1" x14ac:dyDescent="0.45">
      <c r="A59">
        <v>28.5</v>
      </c>
      <c r="B59" s="51">
        <v>6.6</v>
      </c>
    </row>
    <row r="60" spans="1:2" ht="15.75" customHeight="1" x14ac:dyDescent="0.45">
      <c r="A60">
        <v>29</v>
      </c>
      <c r="B60" s="51">
        <v>6.8</v>
      </c>
    </row>
    <row r="61" spans="1:2" ht="15.75" customHeight="1" x14ac:dyDescent="0.45">
      <c r="A61">
        <v>29.5</v>
      </c>
      <c r="B61" s="51">
        <v>6.9</v>
      </c>
    </row>
    <row r="62" spans="1:2" ht="15.75" customHeight="1" x14ac:dyDescent="0.45">
      <c r="A62">
        <v>30</v>
      </c>
      <c r="B62" s="51">
        <v>7</v>
      </c>
    </row>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6484375" defaultRowHeight="15" customHeight="1" x14ac:dyDescent="0.45"/>
  <cols>
    <col min="1" max="25" width="10.6640625" customWidth="1"/>
  </cols>
  <sheetData>
    <row r="1" spans="1:5" ht="14.25" x14ac:dyDescent="0.45">
      <c r="A1" s="82" t="s">
        <v>5</v>
      </c>
      <c r="B1" s="7" t="s">
        <v>6</v>
      </c>
      <c r="C1" s="8"/>
      <c r="D1" s="8"/>
      <c r="E1" s="9"/>
    </row>
    <row r="2" spans="1:5" ht="43.15" thickBot="1" x14ac:dyDescent="0.5">
      <c r="A2" s="83"/>
      <c r="B2" s="10" t="s">
        <v>7</v>
      </c>
      <c r="C2" s="11" t="s">
        <v>8</v>
      </c>
      <c r="D2" s="41" t="s">
        <v>78</v>
      </c>
      <c r="E2" s="12" t="s">
        <v>10</v>
      </c>
    </row>
    <row r="3" spans="1:5" ht="28.9" thickBot="1" x14ac:dyDescent="0.5">
      <c r="A3" s="13" t="s">
        <v>11</v>
      </c>
      <c r="B3" s="14">
        <v>4</v>
      </c>
      <c r="C3" s="14">
        <v>3</v>
      </c>
      <c r="D3" s="14">
        <v>2</v>
      </c>
      <c r="E3" s="14">
        <v>0</v>
      </c>
    </row>
    <row r="4" spans="1:5" ht="14.65" thickBot="1" x14ac:dyDescent="0.5">
      <c r="A4" s="13"/>
      <c r="B4" s="14"/>
      <c r="C4" s="14"/>
      <c r="D4" s="14"/>
      <c r="E4" s="14"/>
    </row>
    <row r="5" spans="1:5" ht="14.65" thickBot="1" x14ac:dyDescent="0.5">
      <c r="A5" s="13"/>
      <c r="B5" s="14"/>
      <c r="C5" s="14"/>
      <c r="D5" s="14"/>
      <c r="E5" s="14"/>
    </row>
    <row r="21" ht="15.75" customHeight="1" x14ac:dyDescent="0.45"/>
    <row r="22" ht="15.75" customHeight="1" x14ac:dyDescent="0.45"/>
    <row r="23" ht="15.75" customHeight="1" x14ac:dyDescent="0.45"/>
    <row r="24" ht="15.75" customHeight="1" x14ac:dyDescent="0.45"/>
    <row r="25" ht="15.75" customHeight="1" x14ac:dyDescent="0.45"/>
    <row r="26" ht="15.75" customHeight="1" x14ac:dyDescent="0.45"/>
    <row r="27" ht="15.75" customHeight="1" x14ac:dyDescent="0.45"/>
    <row r="28" ht="15.75" customHeight="1" x14ac:dyDescent="0.45"/>
    <row r="29" ht="15.75" customHeight="1" x14ac:dyDescent="0.45"/>
    <row r="30" ht="15.75" customHeight="1" x14ac:dyDescent="0.45"/>
    <row r="31" ht="15.75" customHeight="1" x14ac:dyDescent="0.45"/>
    <row r="32"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Jeanette Leonelli</cp:lastModifiedBy>
  <dcterms:created xsi:type="dcterms:W3CDTF">2023-08-07T04:08:01Z</dcterms:created>
  <dcterms:modified xsi:type="dcterms:W3CDTF">2026-09-11T00:55:05Z</dcterms:modified>
</cp:coreProperties>
</file>